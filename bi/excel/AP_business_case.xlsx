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Levers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hecks" sheetId="7" state="visible" r:id="rId7"/>
  </sheets>
  <definedNames>
    <definedName name="Scenario">Inputs!$B$1</definedName>
    <definedName name="Scenario_Index">Inputs!$B$2</definedName>
    <definedName name="Eff_Duplicates">Inputs!$E$5</definedName>
    <definedName name="Eff_Duplicates_Worst">Inputs!$B$5</definedName>
    <definedName name="Eff_Duplicates_Base">Inputs!$C$5</definedName>
    <definedName name="Eff_Duplicates_Best">Inputs!$D$5</definedName>
    <definedName name="Eff_PayToTerms">Inputs!$E$6</definedName>
    <definedName name="Eff_PayToTerms_Worst">Inputs!$B$6</definedName>
    <definedName name="Eff_PayToTerms_Base">Inputs!$C$6</definedName>
    <definedName name="Eff_PayToTerms_Best">Inputs!$D$6</definedName>
    <definedName name="Eff_Approval">Inputs!$E$7</definedName>
    <definedName name="Eff_Approval_Worst">Inputs!$B$7</definedName>
    <definedName name="Eff_Approval_Base">Inputs!$C$7</definedName>
    <definedName name="Eff_Approval_Best">Inputs!$D$7</definedName>
    <definedName name="Eff_EntryValidation">Inputs!$E$8</definedName>
    <definedName name="Eff_EntryValidation_Worst">Inputs!$B$8</definedName>
    <definedName name="Eff_EntryValidation_Base">Inputs!$C$8</definedName>
    <definedName name="Eff_EntryValidation_Best">Inputs!$D$8</definedName>
    <definedName name="Eff_POCompliance">Inputs!$E$9</definedName>
    <definedName name="Eff_POCompliance_Worst">Inputs!$B$9</definedName>
    <definedName name="Eff_POCompliance_Base">Inputs!$C$9</definedName>
    <definedName name="Eff_POCompliance_Best">Inputs!$D$9</definedName>
    <definedName name="Recovery_Rate">Inputs!$E$10</definedName>
    <definedName name="Recovery_Rate_Worst">Inputs!$B$10</definedName>
    <definedName name="Recovery_Rate_Base">Inputs!$C$10</definedName>
    <definedName name="Recovery_Rate_Best">Inputs!$D$10</definedName>
    <definedName name="PO_Premium">Inputs!$E$11</definedName>
    <definedName name="PO_Premium_Worst">Inputs!$B$11</definedName>
    <definedName name="PO_Premium_Base">Inputs!$C$11</definedName>
    <definedName name="PO_Premium_Best">Inputs!$D$11</definedName>
    <definedName name="Cost_Multiplier">Inputs!$E$12</definedName>
    <definedName name="Cost_Multiplier_Worst">Inputs!$B$12</definedName>
    <definedName name="Cost_Multiplier_Base">Inputs!$C$12</definedName>
    <definedName name="Cost_Multiplier_Best">Inputs!$D$12</definedName>
    <definedName name="CoC">Inputs!$E$13</definedName>
    <definedName name="CoC_Worst">Inputs!$B$13</definedName>
    <definedName name="CoC_Base">Inputs!$C$13</definedName>
    <definedName name="CoC_Best">Inputs!$D$13</definedName>
    <definedName name="Ramp_Y1">Inputs!$E$14</definedName>
    <definedName name="Ramp_Y1_Worst">Inputs!$B$14</definedName>
    <definedName name="Ramp_Y1_Base">Inputs!$C$14</definedName>
    <definedName name="Ramp_Y1_Best">Inputs!$D$14</definedName>
    <definedName name="M_Duplicates">Inputs!$B$17</definedName>
    <definedName name="M_PaymentRun">Inputs!$B$18</definedName>
    <definedName name="M_SlowApproval">Inputs!$B$19</definedName>
    <definedName name="M_Rework">Inputs!$B$20</definedName>
    <definedName name="M_PaidDuplicates">Inputs!$B$21</definedName>
    <definedName name="M_NoPOSpend">Inputs!$B$22</definedName>
    <definedName name="M_WorkingCapital">Inputs!$B$23</definedName>
    <definedName name="M_CoC_Measure">Inputs!$B$24</definedName>
    <definedName name="Rate_IT">Inputs!$B$27</definedName>
    <definedName name="Rate_Internal">Inputs!$B$28</definedName>
    <definedName name="Hard_Benefit">Levers!$E$11</definedName>
    <definedName name="Estimated_Saving">Levers!$E$12</definedName>
    <definedName name="Investment">Levers!$E$13</definedName>
    <definedName name="Investment_Estimate">Levers!$E$14</definedName>
    <definedName name="Run_Cost">Levers!$E$15</definedName>
    <definedName name="Run_Cost_Estimate">Levers!$E$16</definedName>
    <definedName name="Hard_NPV">'Cash flow'!$B$11</definedName>
    <definedName name="Hard_ROI">'Cash flow'!$B$12</definedName>
    <definedName name="Hard_Payback">'Cash flow'!$B$13</definedName>
    <definedName name="WithEstimated_NPV">'Cash flow'!$B$25</definedName>
    <definedName name="WithEstimated_ROI">'Cash flow'!$B$26</definedName>
    <definedName name="WithEstimated_Payback">'Cash flow'!$B$27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x"/>
    <numFmt numFmtId="166" formatCode="&quot;€&quot;#,##0.00;(&quot;€&quot;#,##0.00);&quot;-&quot;"/>
    <numFmt numFmtId="167" formatCode="&quot;€&quot;#,##0;(&quot;€&quot;#,##0);&quot;-&quot;"/>
    <numFmt numFmtId="168" formatCode="0.0000"/>
    <numFmt numFmtId="169" formatCode="0.0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FF"/>
      <sz val="10"/>
    </font>
    <font>
      <name val="Arial"/>
      <color rgb="00595959"/>
      <sz val="10"/>
    </font>
    <font>
      <name val="Arial"/>
      <color rgb="000000FF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1" fillId="3" borderId="1" applyAlignment="1" pivotButton="0" quotePrefix="0" xfId="0">
      <alignment vertical="top" wrapText="1"/>
    </xf>
    <xf numFmtId="164" fontId="5" fillId="0" borderId="0" pivotButton="0" quotePrefix="0" xfId="0"/>
    <xf numFmtId="164" fontId="2" fillId="0" borderId="0" pivotButton="0" quotePrefix="0" xfId="0"/>
    <xf numFmtId="165" fontId="5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7" fontId="6" fillId="0" borderId="0" pivotButton="0" quotePrefix="0" xfId="0"/>
    <xf numFmtId="164" fontId="6" fillId="0" borderId="0" pivotButton="0" quotePrefix="0" xfId="0"/>
    <xf numFmtId="167" fontId="2" fillId="0" borderId="0" pivotButton="0" quotePrefix="0" xfId="0"/>
    <xf numFmtId="1" fontId="5" fillId="0" borderId="0" pivotButton="0" quotePrefix="0" xfId="0"/>
    <xf numFmtId="167" fontId="1" fillId="0" borderId="0" pivotButton="0" quotePrefix="0" xfId="0"/>
    <xf numFmtId="0" fontId="1" fillId="3" borderId="0" pivotButton="0" quotePrefix="0" xfId="0"/>
    <xf numFmtId="168" fontId="2" fillId="0" borderId="0" pivotButton="0" quotePrefix="0" xfId="0"/>
    <xf numFmtId="164" fontId="1" fillId="0" borderId="0" pivotButton="0" quotePrefix="0" xfId="0"/>
    <xf numFmtId="169" fontId="1" fillId="0" borderId="0" pivotButton="0" quotePrefix="0" xfId="0"/>
    <xf numFmtId="169" fontId="2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6" fontId="2" fillId="0" borderId="0" pivotButton="0" quotePrefix="0" xfId="0"/>
    <xf numFmtId="169" fontId="6" fillId="0" borderId="0" pivotButton="0" quotePrefix="0" xfId="0"/>
    <xf numFmtId="169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NPV range by assumption (hard benefits)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'Sensitivity'!B20</f>
            </strRef>
          </tx>
          <spPr>
            <a:solidFill xmlns:a="http://schemas.openxmlformats.org/drawingml/2006/main">
              <a:srgbClr val="E34948"/>
            </a:solidFill>
            <a:ln xmlns:a="http://schemas.openxmlformats.org/drawingml/2006/main">
              <a:prstDash val="solid"/>
            </a:ln>
          </spPr>
          <cat>
            <numRef>
              <f>'Sensitivity'!$A$21:$A$28</f>
            </numRef>
          </cat>
          <val>
            <numRef>
              <f>'Sensitivity'!$B$21:$B$28</f>
            </numRef>
          </val>
        </ser>
        <ser>
          <idx val="1"/>
          <order val="1"/>
          <tx>
            <strRef>
              <f>'Sensitivity'!C20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'Sensitivity'!$A$21:$A$28</f>
            </numRef>
          </cat>
          <val>
            <numRef>
              <f>'Sensitivity'!$C$21:$C$28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6000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3-year NPV (€)</a:t>
                </a:r>
              </a:p>
            </rich>
          </tx>
        </title>
        <numFmt formatCode="&quot;€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 script</author>
  </authors>
  <commentList>
    <comment ref="C2" authorId="0" shapeId="0">
      <text>
        <t>Value from src/business_case.py when the workbook was built.</t>
      </text>
    </comment>
    <comment ref="C3" authorId="0" shapeId="0">
      <text>
        <t>Value from src/business_case.py when the workbook was built.</t>
      </text>
    </comment>
    <comment ref="C4" authorId="0" shapeId="0">
      <text>
        <t>Value from src/business_case.py when the workbook was built.</t>
      </text>
    </comment>
    <comment ref="C5" authorId="0" shapeId="0">
      <text>
        <t>Value from src/business_case.py when the workbook was built.</t>
      </text>
    </comment>
    <comment ref="C6" authorId="0" shapeId="0">
      <text>
        <t>Value from src/business_case.py when the workbook was built.</t>
      </text>
    </comment>
    <comment ref="C7" authorId="0" shapeId="0">
      <text>
        <t>Value from src/business_case.py when the workbook was built.</t>
      </text>
    </comment>
    <comment ref="C8" authorId="0" shapeId="0">
      <text>
        <t>Value from src/business_case.py when the workbook was built.</t>
      </text>
    </comment>
    <comment ref="C9" authorId="0" shapeId="0">
      <text>
        <t>Value from src/business_case.py when the workbook was built.</t>
      </text>
    </comment>
    <comment ref="C10" authorId="0" shapeId="0">
      <text>
        <t>Value from src/business_case.py when the workbook was built.</t>
      </text>
    </comment>
    <comment ref="C11" authorId="0" shapeId="0">
      <text>
        <t>Value from src/business_case.py when the workbook was built.</t>
      </text>
    </comment>
    <comment ref="C12" authorId="0" shapeId="0">
      <text>
        <t>Value from src/business_case.py when the workbook was built.</t>
      </text>
    </comment>
    <comment ref="C13" authorId="0" shapeId="0">
      <text>
        <t>Value from src/business_case.py when the workbook was built.</t>
      </text>
    </comment>
    <comment ref="C14" authorId="0" shapeId="0">
      <text>
        <t>Value from src/business_case.py when the workbook was built.</t>
      </text>
    </comment>
    <comment ref="C15" authorId="0" shapeId="0">
      <text>
        <t>Value from src/business_case.py when the workbook was built.</t>
      </text>
    </comment>
    <comment ref="C16" authorId="0" shapeId="0">
      <text>
        <t>Value from src/business_case.py when the workbook was built.</t>
      </text>
    </comment>
    <comment ref="C17" authorId="0" shapeId="0">
      <text>
        <t>Value from src/business_case.py when the workbook was built.</t>
      </text>
    </comment>
    <comment ref="C18" authorId="0" shapeId="0">
      <text>
        <t>Value from src/business_case.py when the workbook was built.</t>
      </text>
    </comment>
    <comment ref="C19" authorId="0" shapeId="0">
      <text>
        <t>Value from src/business_case.py when the workbook was built.</t>
      </text>
    </comment>
    <comment ref="C20" authorId="0" shapeId="0">
      <text>
        <t>Value from src/business_case.py when the workbook was built.</t>
      </text>
    </comment>
    <comment ref="C21" authorId="0" shapeId="0">
      <text>
        <t>Value from src/business_case.py when the workbook was built.</t>
      </text>
    </comment>
    <comment ref="C22" authorId="0" shapeId="0">
      <text>
        <t>Value from src/business_case.py when the workbook was built.</t>
      </text>
    </comment>
    <comment ref="C23" authorId="0" shapeId="0">
      <text>
        <t>Value from src/business_case.py when the workbook was built.</t>
      </text>
    </comment>
    <comment ref="C24" authorId="0" shapeId="0">
      <text>
        <t>Value from src/business_case.py when the workbook was built.</t>
      </text>
    </comment>
    <comment ref="C25" authorId="0" shapeId="0">
      <text>
        <t>Value from src/business_case.py when the workbook was built.</t>
      </text>
    </comment>
    <comment ref="C26" authorId="0" shapeId="0">
      <text>
        <t>Value from src/business_case.py when the workbook was built.</t>
      </text>
    </comment>
    <comment ref="C27" authorId="0" shapeId="0">
      <text>
        <t>Value from src/business_case.py when the workbook was built.</t>
      </text>
    </comment>
    <comment ref="C28" authorId="0" shapeId="0">
      <text>
        <t>Value from src/business_case.py when the workbook was built.</t>
      </text>
    </comment>
    <comment ref="C29" authorId="0" shapeId="0">
      <text>
        <t>Value from src/business_case.py when the workbook was built.</t>
      </text>
    </comment>
    <comment ref="C30" authorId="0" shapeId="0">
      <text>
        <t>Value from src/business_case.py when the workbook was built.</t>
      </text>
    </comment>
    <comment ref="C31" authorId="0" shapeId="0">
      <text>
        <t>Value from src/business_case.py when the workbook was built.</t>
      </text>
    </comment>
    <comment ref="C32" authorId="0" shapeId="0">
      <text>
        <t>Value from src/business_case.py when the workbook was built.</t>
      </text>
    </comment>
    <comment ref="C33" authorId="0" shapeId="0">
      <text>
        <t>Value from src/business_case.py when the workbook was built.</t>
      </text>
    </comment>
    <comment ref="C34" authorId="0" shapeId="0">
      <text>
        <t>Value from src/business_case.py when the workbook was built.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AP Spend Leakage Analyzer: business case model (Rheinwerk Komponenten GmbH, fictional client)</t>
        </is>
      </c>
    </row>
    <row r="2">
      <c r="A2" s="2" t="inlineStr">
        <is>
          <t>Generated by scripts/build_excel_workbook.py from the same figures as the app. All data is synthetic.</t>
        </is>
      </c>
    </row>
    <row r="3">
      <c r="A3" s="2" t="inlineStr"/>
    </row>
    <row r="4">
      <c r="A4" s="1" t="inlineStr">
        <is>
          <t>How to use</t>
        </is>
      </c>
    </row>
    <row r="5">
      <c r="A5" s="2" t="inlineStr">
        <is>
          <t>1. Inputs: pick Worst, Base or Best in the yellow cell, or change any blue value.</t>
        </is>
      </c>
    </row>
    <row r="6">
      <c r="A6" s="2" t="inlineStr">
        <is>
          <t>2. Levers, Cash flow and Scenarios recalculate: NPV, ROI and payback are formulas, not pasted values.</t>
        </is>
      </c>
    </row>
    <row r="7">
      <c r="A7" s="2" t="inlineStr">
        <is>
          <t>3. Sensitivity moves one assumption at a time to its worst and best value (tornado chart).</t>
        </is>
      </c>
    </row>
    <row r="8">
      <c r="A8" s="2" t="inlineStr">
        <is>
          <t>4. Checks compares the workbook with the Python model; every row shows OK in the Base scenario.</t>
        </is>
      </c>
    </row>
    <row r="9">
      <c r="A9" s="2" t="inlineStr"/>
    </row>
    <row r="10">
      <c r="A10" s="1" t="inlineStr">
        <is>
          <t>Colour code</t>
        </is>
      </c>
    </row>
    <row r="11">
      <c r="A11" s="2" t="inlineStr">
        <is>
          <t>Blue text: input or assumption you may change. Black: formula. Green: link to another sheet.</t>
        </is>
      </c>
    </row>
    <row r="12">
      <c r="A12" s="2" t="inlineStr">
        <is>
          <t>Yellow fill: the scenario switch.</t>
        </is>
      </c>
    </row>
    <row r="13">
      <c r="A13" s="2" t="inlineStr"/>
    </row>
    <row r="14">
      <c r="A14" s="1" t="inlineStr">
        <is>
          <t>Rules kept from the analysis</t>
        </is>
      </c>
    </row>
    <row r="15">
      <c r="A15" s="2" t="inlineStr">
        <is>
          <t>Hard benefits (cash) and estimated savings are never added into one headline: the NPV is shown for both.</t>
        </is>
      </c>
    </row>
    <row r="16">
      <c r="A16" s="2" t="inlineStr">
        <is>
          <t>AP time saved by less rework is not counted as a benefit; staff time is counted as a cost (conservative).</t>
        </is>
      </c>
    </row>
    <row r="17">
      <c r="A17" s="2" t="inlineStr"/>
    </row>
    <row r="18">
      <c r="A18" s="2" t="inlineStr">
        <is>
          <t>Pivot tables and Power Query: see bi/excel/README.md (built in Excel from bi/data/*.csv).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3" customWidth="1" min="2" max="2"/>
    <col width="11" customWidth="1" min="3" max="3"/>
    <col width="11" customWidth="1" min="4" max="4"/>
    <col width="11" customWidth="1" min="5" max="5"/>
    <col width="20" customWidth="1" min="6" max="6"/>
    <col width="70" customWidth="1" min="7" max="7"/>
  </cols>
  <sheetData>
    <row r="1">
      <c r="A1" s="1" t="inlineStr">
        <is>
          <t>Scenario</t>
        </is>
      </c>
      <c r="B1" s="3" t="inlineStr">
        <is>
          <t>Base</t>
        </is>
      </c>
      <c r="C1" s="4" t="inlineStr">
        <is>
          <t>Worst, Base or Best: drives the Active column below</t>
        </is>
      </c>
    </row>
    <row r="2">
      <c r="A2" s="2" t="inlineStr">
        <is>
          <t>Scenario index</t>
        </is>
      </c>
      <c r="B2" s="2">
        <f>MATCH(Scenario,{"Worst","Base","Best"},0)</f>
        <v/>
      </c>
    </row>
    <row r="4">
      <c r="A4" s="5" t="inlineStr">
        <is>
          <t>Assumption</t>
        </is>
      </c>
      <c r="B4" s="5" t="inlineStr">
        <is>
          <t>Worst</t>
        </is>
      </c>
      <c r="C4" s="5" t="inlineStr">
        <is>
          <t>Base</t>
        </is>
      </c>
      <c r="D4" s="5" t="inlineStr">
        <is>
          <t>Best</t>
        </is>
      </c>
      <c r="E4" s="5" t="inlineStr">
        <is>
          <t>Active</t>
        </is>
      </c>
      <c r="F4" s="5" t="inlineStr">
        <is>
          <t>Name</t>
        </is>
      </c>
      <c r="G4" s="5" t="inlineStr">
        <is>
          <t>Source</t>
        </is>
      </c>
    </row>
    <row r="5">
      <c r="A5" s="2" t="inlineStr">
        <is>
          <t>Duplicates prevented</t>
        </is>
      </c>
      <c r="B5" s="6" t="n">
        <v>0.8</v>
      </c>
      <c r="C5" s="6" t="n">
        <v>0.9579586949458706</v>
      </c>
      <c r="D5" s="6" t="n">
        <v>1</v>
      </c>
      <c r="E5" s="7">
        <f>INDEX(B5:D5,Scenario_Index)</f>
        <v/>
      </c>
      <c r="F5" s="4" t="inlineStr">
        <is>
          <t>Eff_Duplicates</t>
        </is>
      </c>
      <c r="G5" s="4" t="inlineStr">
        <is>
          <t>Data: € share of duplicates that reused a PO</t>
        </is>
      </c>
    </row>
    <row r="6">
      <c r="A6" s="2" t="inlineStr">
        <is>
          <t>Pay-to-terms effectiveness</t>
        </is>
      </c>
      <c r="B6" s="6" t="n">
        <v>0.6</v>
      </c>
      <c r="C6" s="6" t="n">
        <v>0.8</v>
      </c>
      <c r="D6" s="6" t="n">
        <v>1</v>
      </c>
      <c r="E6" s="7">
        <f>INDEX(B6:D6,Scenario_Index)</f>
        <v/>
      </c>
      <c r="F6" s="4" t="inlineStr">
        <is>
          <t>Eff_PayToTerms</t>
        </is>
      </c>
      <c r="G6" s="4" t="inlineStr">
        <is>
          <t>Consultant estimate; depends on run frequency</t>
        </is>
      </c>
    </row>
    <row r="7">
      <c r="A7" s="2" t="inlineStr">
        <is>
          <t>Late approvals avoided</t>
        </is>
      </c>
      <c r="B7" s="6" t="n">
        <v>0.25</v>
      </c>
      <c r="C7" s="6" t="n">
        <v>0.5</v>
      </c>
      <c r="D7" s="6" t="n">
        <v>0.75</v>
      </c>
      <c r="E7" s="7">
        <f>INDEX(B7:D7,Scenario_Index)</f>
        <v/>
      </c>
      <c r="F7" s="4" t="inlineStr">
        <is>
          <t>Eff_Approval</t>
        </is>
      </c>
      <c r="G7" s="4" t="inlineStr">
        <is>
          <t>Consultant estimate; confirm with budget owners</t>
        </is>
      </c>
    </row>
    <row r="8">
      <c r="A8" s="2" t="inlineStr">
        <is>
          <t>Rework prevented at entry</t>
        </is>
      </c>
      <c r="B8" s="6" t="n">
        <v>0.3</v>
      </c>
      <c r="C8" s="6" t="n">
        <v>0.5515695067264574</v>
      </c>
      <c r="D8" s="6" t="n">
        <v>0.7</v>
      </c>
      <c r="E8" s="7">
        <f>INDEX(B8:D8,Scenario_Index)</f>
        <v/>
      </c>
      <c r="F8" s="4" t="inlineStr">
        <is>
          <t>Eff_EntryValidation</t>
        </is>
      </c>
      <c r="G8" s="4" t="inlineStr">
        <is>
          <t>Data: share of rejections preventable at entry</t>
        </is>
      </c>
    </row>
    <row r="9">
      <c r="A9" s="2" t="inlineStr">
        <is>
          <t>No-PO spend brought under PO</t>
        </is>
      </c>
      <c r="B9" s="6" t="n">
        <v>0.25</v>
      </c>
      <c r="C9" s="6" t="n">
        <v>0.5370370370370369</v>
      </c>
      <c r="D9" s="6" t="n">
        <v>0.75</v>
      </c>
      <c r="E9" s="7">
        <f>INDEX(B9:D9,Scenario_Index)</f>
        <v/>
      </c>
      <c r="F9" s="4" t="inlineStr">
        <is>
          <t>Eff_POCompliance</t>
        </is>
      </c>
      <c r="G9" s="4" t="inlineStr">
        <is>
          <t>Data: gap closed by the 90% PO-compliance target</t>
        </is>
      </c>
    </row>
    <row r="10">
      <c r="A10" s="2" t="inlineStr">
        <is>
          <t>Paid duplicates recovered</t>
        </is>
      </c>
      <c r="B10" s="6" t="n">
        <v>0.6</v>
      </c>
      <c r="C10" s="6" t="n">
        <v>0.8</v>
      </c>
      <c r="D10" s="6" t="n">
        <v>0.95</v>
      </c>
      <c r="E10" s="7">
        <f>INDEX(B10:D10,Scenario_Index)</f>
        <v/>
      </c>
      <c r="F10" s="4" t="inlineStr">
        <is>
          <t>Recovery_Rate</t>
        </is>
      </c>
      <c r="G10" s="4" t="inlineStr">
        <is>
          <t>Open question Q1 (CFO, AP Manager)</t>
        </is>
      </c>
    </row>
    <row r="11">
      <c r="A11" s="2" t="inlineStr">
        <is>
          <t>Premium paid without a PO</t>
        </is>
      </c>
      <c r="B11" s="6" t="n">
        <v>0.02</v>
      </c>
      <c r="C11" s="6" t="n">
        <v>0.05</v>
      </c>
      <c r="D11" s="6" t="n">
        <v>0.08</v>
      </c>
      <c r="E11" s="7">
        <f>INDEX(B11:D11,Scenario_Index)</f>
        <v/>
      </c>
      <c r="F11" s="4" t="inlineStr">
        <is>
          <t>PO_Premium</t>
        </is>
      </c>
      <c r="G11" s="4" t="inlineStr">
        <is>
          <t>Assumption in Measure; confirm with Procurement</t>
        </is>
      </c>
    </row>
    <row r="12">
      <c r="A12" s="2" t="inlineStr">
        <is>
          <t>Implementation and running cost</t>
        </is>
      </c>
      <c r="B12" s="8" t="n">
        <v>1.5</v>
      </c>
      <c r="C12" s="8" t="n">
        <v>1</v>
      </c>
      <c r="D12" s="8" t="n">
        <v>0.9</v>
      </c>
      <c r="E12" s="9">
        <f>INDEX(B12:D12,Scenario_Index)</f>
        <v/>
      </c>
      <c r="F12" s="4" t="inlineStr">
        <is>
          <t>Cost_Multiplier</t>
        </is>
      </c>
      <c r="G12" s="4" t="inlineStr">
        <is>
          <t>Consultant estimate; IT overruns are common</t>
        </is>
      </c>
    </row>
    <row r="13">
      <c r="A13" s="2" t="inlineStr">
        <is>
          <t>Cost of capital (discount rate)</t>
        </is>
      </c>
      <c r="B13" s="6" t="n">
        <v>0.1</v>
      </c>
      <c r="C13" s="6" t="n">
        <v>0.08</v>
      </c>
      <c r="D13" s="6" t="n">
        <v>0.06</v>
      </c>
      <c r="E13" s="7">
        <f>INDEX(B13:D13,Scenario_Index)</f>
        <v/>
      </c>
      <c r="F13" s="4" t="inlineStr">
        <is>
          <t>CoC</t>
        </is>
      </c>
      <c r="G13" s="4" t="inlineStr">
        <is>
          <t>Open question Q3 (CFO)</t>
        </is>
      </c>
    </row>
    <row r="14">
      <c r="A14" s="2" t="inlineStr">
        <is>
          <t>Year-1 benefit realised</t>
        </is>
      </c>
      <c r="B14" s="6" t="n">
        <v>0.5</v>
      </c>
      <c r="C14" s="6" t="n">
        <v>0.75</v>
      </c>
      <c r="D14" s="6" t="n">
        <v>0.9</v>
      </c>
      <c r="E14" s="7">
        <f>INDEX(B14:D14,Scenario_Index)</f>
        <v/>
      </c>
      <c r="F14" s="4" t="inlineStr">
        <is>
          <t>Ramp_Y1</t>
        </is>
      </c>
      <c r="G14" s="4" t="inlineStr">
        <is>
          <t>Go-live in the first quarter (charter goal date)</t>
        </is>
      </c>
    </row>
    <row r="16">
      <c r="A16" s="5" t="inlineStr">
        <is>
          <t>Measured figure (12 months to 31 Aug 2026)</t>
        </is>
      </c>
      <c r="B16" s="5" t="inlineStr">
        <is>
          <t>€ a year</t>
        </is>
      </c>
      <c r="C16" s="5" t="inlineStr"/>
      <c r="D16" s="5" t="inlineStr"/>
      <c r="E16" s="5" t="inlineStr"/>
      <c r="F16" s="5" t="inlineStr">
        <is>
          <t>Name</t>
        </is>
      </c>
      <c r="G16" s="5" t="inlineStr">
        <is>
          <t>Source</t>
        </is>
      </c>
    </row>
    <row r="17">
      <c r="A17" s="2" t="inlineStr">
        <is>
          <t>Duplicate payments (no duplicate check at entry)</t>
        </is>
      </c>
      <c r="B17" s="10" t="n">
        <v>60264.78</v>
      </c>
      <c r="F17" s="4" t="inlineStr">
        <is>
          <t>M_Duplicates</t>
        </is>
      </c>
      <c r="G17" s="4" t="inlineStr">
        <is>
          <t>src/root_cause.py, leakage by cause</t>
        </is>
      </c>
    </row>
    <row r="18">
      <c r="A18" s="2" t="inlineStr">
        <is>
          <t>Payment run ignores discount and due dates</t>
        </is>
      </c>
      <c r="B18" s="10" t="n">
        <v>6278.47</v>
      </c>
      <c r="F18" s="4" t="inlineStr">
        <is>
          <t>M_PaymentRun</t>
        </is>
      </c>
      <c r="G18" s="4" t="inlineStr">
        <is>
          <t>src/root_cause.py, leakage by cause</t>
        </is>
      </c>
    </row>
    <row r="19">
      <c r="A19" s="2" t="inlineStr">
        <is>
          <t>Slow approval, no rework</t>
        </is>
      </c>
      <c r="B19" s="10" t="n">
        <v>4018.31</v>
      </c>
      <c r="F19" s="4" t="inlineStr">
        <is>
          <t>M_SlowApproval</t>
        </is>
      </c>
      <c r="G19" s="4" t="inlineStr">
        <is>
          <t>src/root_cause.py, leakage by cause</t>
        </is>
      </c>
    </row>
    <row r="20">
      <c r="A20" s="2" t="inlineStr">
        <is>
          <t>Rework delays approval past the deadline</t>
        </is>
      </c>
      <c r="B20" s="10" t="n">
        <v>2991.31</v>
      </c>
      <c r="F20" s="4" t="inlineStr">
        <is>
          <t>M_Rework</t>
        </is>
      </c>
      <c r="G20" s="4" t="inlineStr">
        <is>
          <t>src/root_cause.py, leakage by cause</t>
        </is>
      </c>
    </row>
    <row r="21">
      <c r="A21" s="2" t="inlineStr">
        <is>
          <t>Duplicates already paid (one-off claim-back base)</t>
        </is>
      </c>
      <c r="B21" s="10" t="n">
        <v>60264.78</v>
      </c>
      <c r="F21" s="4" t="inlineStr">
        <is>
          <t>M_PaidDuplicates</t>
        </is>
      </c>
      <c r="G21" s="4" t="inlineStr">
        <is>
          <t>src/impact.py, duplicate copies already paid</t>
        </is>
      </c>
    </row>
    <row r="22">
      <c r="A22" s="2" t="inlineStr">
        <is>
          <t>Spend without a purchase order</t>
        </is>
      </c>
      <c r="B22" s="10" t="n">
        <v>797772.6</v>
      </c>
      <c r="F22" s="4" t="inlineStr">
        <is>
          <t>M_NoPOSpend</t>
        </is>
      </c>
      <c r="G22" s="4" t="inlineStr">
        <is>
          <t>src/kpis.py, no-PO invoice spend</t>
        </is>
      </c>
    </row>
    <row r="23">
      <c r="A23" s="2" t="inlineStr">
        <is>
          <t>Working capital given away, at the Measure cost of capital</t>
        </is>
      </c>
      <c r="B23" s="10" t="n">
        <v>12531.63</v>
      </c>
      <c r="F23" s="4" t="inlineStr">
        <is>
          <t>M_WorkingCapital</t>
        </is>
      </c>
      <c r="G23" s="4" t="inlineStr">
        <is>
          <t>src/impact.py, early-payment cost</t>
        </is>
      </c>
    </row>
    <row r="24">
      <c r="A24" s="2" t="inlineStr">
        <is>
          <t>Cost of capital used in Measure</t>
        </is>
      </c>
      <c r="B24" s="6" t="n">
        <v>0.08</v>
      </c>
      <c r="F24" s="4" t="inlineStr">
        <is>
          <t>M_CoC_Measure</t>
        </is>
      </c>
      <c r="G24" s="4" t="inlineStr">
        <is>
          <t>src/impact.py; working capital € scales with the Active cost of capital</t>
        </is>
      </c>
    </row>
    <row r="26">
      <c r="A26" s="5" t="inlineStr">
        <is>
          <t>Cost rate</t>
        </is>
      </c>
      <c r="B26" s="5" t="inlineStr">
        <is>
          <t>€ a day</t>
        </is>
      </c>
      <c r="C26" s="5" t="inlineStr"/>
      <c r="D26" s="5" t="inlineStr"/>
      <c r="E26" s="5" t="inlineStr"/>
      <c r="F26" s="5" t="inlineStr">
        <is>
          <t>Name</t>
        </is>
      </c>
      <c r="G26" s="5" t="inlineStr">
        <is>
          <t>Source</t>
        </is>
      </c>
    </row>
    <row r="27">
      <c r="A27" s="2" t="inlineStr">
        <is>
          <t>IT day rate (external SAP consultant)</t>
        </is>
      </c>
      <c r="B27" s="11" t="n">
        <v>1000</v>
      </c>
      <c r="F27" s="4" t="inlineStr">
        <is>
          <t>Rate_IT</t>
        </is>
      </c>
      <c r="G27" s="4" t="inlineStr">
        <is>
          <t>Consultant estimate; confirm with IT</t>
        </is>
      </c>
    </row>
    <row r="28">
      <c r="A28" s="2" t="inlineStr">
        <is>
          <t>Internal day rate (AP or Procurement staff, fully loaded)</t>
        </is>
      </c>
      <c r="B28" s="11" t="n">
        <v>400</v>
      </c>
      <c r="F28" s="4" t="inlineStr">
        <is>
          <t>Rate_Internal</t>
        </is>
      </c>
      <c r="G28" s="4" t="inlineStr">
        <is>
          <t>About €50 an hour; confirm with HR controlling</t>
        </is>
      </c>
    </row>
  </sheetData>
  <dataValidations count="1">
    <dataValidation sqref="B1" showDropDown="0" showInputMessage="0" showErrorMessage="0" allowBlank="0" type="list">
      <formula1>"Worst,Base,Best"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5" customWidth="1" min="3" max="3"/>
    <col width="10" customWidth="1" min="4" max="4"/>
    <col width="15" customWidth="1" min="5" max="5"/>
    <col width="9" customWidth="1" min="6" max="6"/>
    <col width="10" customWidth="1" min="7" max="7"/>
    <col width="15" customWidth="1" min="8" max="8"/>
    <col width="13" customWidth="1" min="9" max="9"/>
    <col width="10" customWidth="1" min="10" max="10"/>
    <col width="15" customWidth="1" min="11" max="11"/>
    <col width="30" customWidth="1" min="12" max="12"/>
  </cols>
  <sheetData>
    <row r="1">
      <c r="A1" s="5" t="inlineStr">
        <is>
          <t>Fix</t>
        </is>
      </c>
      <c r="B1" s="5" t="inlineStr">
        <is>
          <t>Benefit type</t>
        </is>
      </c>
      <c r="C1" s="5" t="inlineStr">
        <is>
          <t>€ a year at stake</t>
        </is>
      </c>
      <c r="D1" s="5" t="inlineStr">
        <is>
          <t>Removed</t>
        </is>
      </c>
      <c r="E1" s="5" t="inlineStr">
        <is>
          <t>€ benefit a year</t>
        </is>
      </c>
      <c r="F1" s="5" t="inlineStr">
        <is>
          <t>IT days</t>
        </is>
      </c>
      <c r="G1" s="5" t="inlineStr">
        <is>
          <t>Business days</t>
        </is>
      </c>
      <c r="H1" s="5" t="inlineStr">
        <is>
          <t>One-off cost at estimate</t>
        </is>
      </c>
      <c r="I1" s="5" t="inlineStr">
        <is>
          <t>One-off cost</t>
        </is>
      </c>
      <c r="J1" s="5" t="inlineStr">
        <is>
          <t>Run days a year</t>
        </is>
      </c>
      <c r="K1" s="5" t="inlineStr">
        <is>
          <t>Running cost a year</t>
        </is>
      </c>
      <c r="L1" s="5" t="inlineStr">
        <is>
          <t>Owner</t>
        </is>
      </c>
    </row>
    <row r="2">
      <c r="A2" s="2" t="inlineStr">
        <is>
          <t>Block duplicates at invoice entry</t>
        </is>
      </c>
      <c r="B2" s="2" t="inlineStr">
        <is>
          <t>Hard benefit</t>
        </is>
      </c>
      <c r="C2" s="12">
        <f>M_Duplicates</f>
        <v/>
      </c>
      <c r="D2" s="13">
        <f>Eff_Duplicates</f>
        <v/>
      </c>
      <c r="E2" s="14">
        <f>C2*D2</f>
        <v/>
      </c>
      <c r="F2" s="15" t="n">
        <v>8</v>
      </c>
      <c r="G2" s="15" t="n">
        <v>3</v>
      </c>
      <c r="H2" s="14">
        <f>F2*Rate_IT+G2*Rate_Internal</f>
        <v/>
      </c>
      <c r="I2" s="14">
        <f>H2*Cost_Multiplier</f>
        <v/>
      </c>
      <c r="J2" s="15" t="n">
        <v>4</v>
      </c>
      <c r="K2" s="14">
        <f>J2*Rate_Internal*Cost_Multiplier</f>
        <v/>
      </c>
      <c r="L2" s="4" t="inlineStr">
        <is>
          <t>AP Manager, IT</t>
        </is>
      </c>
    </row>
    <row r="3">
      <c r="A3" s="2" t="inlineStr">
        <is>
          <t>Pay to terms</t>
        </is>
      </c>
      <c r="B3" s="2" t="inlineStr">
        <is>
          <t>Hard benefit</t>
        </is>
      </c>
      <c r="C3" s="12">
        <f>M_PaymentRun</f>
        <v/>
      </c>
      <c r="D3" s="13">
        <f>Eff_PayToTerms</f>
        <v/>
      </c>
      <c r="E3" s="14">
        <f>C3*D3</f>
        <v/>
      </c>
      <c r="F3" s="15" t="n">
        <v>5</v>
      </c>
      <c r="G3" s="15" t="n">
        <v>3</v>
      </c>
      <c r="H3" s="14">
        <f>F3*Rate_IT+G3*Rate_Internal</f>
        <v/>
      </c>
      <c r="I3" s="14">
        <f>H3*Cost_Multiplier</f>
        <v/>
      </c>
      <c r="J3" s="15" t="n">
        <v>0</v>
      </c>
      <c r="K3" s="14">
        <f>J3*Rate_Internal*Cost_Multiplier</f>
        <v/>
      </c>
      <c r="L3" s="4" t="inlineStr">
        <is>
          <t>AP Manager (Treasury consulted)</t>
        </is>
      </c>
    </row>
    <row r="4">
      <c r="A4" s="2" t="inlineStr">
        <is>
          <t>Approval deadline for discount invoices</t>
        </is>
      </c>
      <c r="B4" s="2" t="inlineStr">
        <is>
          <t>Hard benefit</t>
        </is>
      </c>
      <c r="C4" s="12">
        <f>M_SlowApproval</f>
        <v/>
      </c>
      <c r="D4" s="13">
        <f>Eff_Approval</f>
        <v/>
      </c>
      <c r="E4" s="14">
        <f>C4*D4</f>
        <v/>
      </c>
      <c r="F4" s="15" t="n">
        <v>10</v>
      </c>
      <c r="G4" s="15" t="n">
        <v>5</v>
      </c>
      <c r="H4" s="14">
        <f>F4*Rate_IT+G4*Rate_Internal</f>
        <v/>
      </c>
      <c r="I4" s="14">
        <f>H4*Cost_Multiplier</f>
        <v/>
      </c>
      <c r="J4" s="15" t="n">
        <v>2</v>
      </c>
      <c r="K4" s="14">
        <f>J4*Rate_Internal*Cost_Multiplier</f>
        <v/>
      </c>
      <c r="L4" s="4" t="inlineStr">
        <is>
          <t>Budget owners, AP Manager</t>
        </is>
      </c>
    </row>
    <row r="5">
      <c r="A5" s="2" t="inlineStr">
        <is>
          <t>Validate cost centre and PO at entry</t>
        </is>
      </c>
      <c r="B5" s="2" t="inlineStr">
        <is>
          <t>Hard benefit</t>
        </is>
      </c>
      <c r="C5" s="12">
        <f>M_Rework</f>
        <v/>
      </c>
      <c r="D5" s="13">
        <f>Eff_EntryValidation</f>
        <v/>
      </c>
      <c r="E5" s="14">
        <f>C5*D5</f>
        <v/>
      </c>
      <c r="F5" s="15" t="n">
        <v>12</v>
      </c>
      <c r="G5" s="15" t="n">
        <v>3</v>
      </c>
      <c r="H5" s="14">
        <f>F5*Rate_IT+G5*Rate_Internal</f>
        <v/>
      </c>
      <c r="I5" s="14">
        <f>H5*Cost_Multiplier</f>
        <v/>
      </c>
      <c r="J5" s="15" t="n">
        <v>0</v>
      </c>
      <c r="K5" s="14">
        <f>J5*Rate_Internal*Cost_Multiplier</f>
        <v/>
      </c>
      <c r="L5" s="4" t="inlineStr">
        <is>
          <t>IT, AP clerks</t>
        </is>
      </c>
    </row>
    <row r="6">
      <c r="A6" s="2" t="inlineStr">
        <is>
          <t>No PO, no pay</t>
        </is>
      </c>
      <c r="B6" s="2" t="inlineStr">
        <is>
          <t>Estimated saving</t>
        </is>
      </c>
      <c r="C6" s="12">
        <f>M_NoPOSpend*PO_Premium</f>
        <v/>
      </c>
      <c r="D6" s="13">
        <f>Eff_POCompliance</f>
        <v/>
      </c>
      <c r="E6" s="14">
        <f>C6*D6</f>
        <v/>
      </c>
      <c r="F6" s="15" t="n">
        <v>3</v>
      </c>
      <c r="G6" s="15" t="n">
        <v>20</v>
      </c>
      <c r="H6" s="14">
        <f>F6*Rate_IT+G6*Rate_Internal</f>
        <v/>
      </c>
      <c r="I6" s="14">
        <f>H6*Cost_Multiplier</f>
        <v/>
      </c>
      <c r="J6" s="15" t="n">
        <v>15</v>
      </c>
      <c r="K6" s="14">
        <f>J6*Rate_Internal*Cost_Multiplier</f>
        <v/>
      </c>
      <c r="L6" s="4" t="inlineStr">
        <is>
          <t>Procurement lead</t>
        </is>
      </c>
    </row>
    <row r="7">
      <c r="A7" s="2" t="inlineStr">
        <is>
          <t>Pay to terms: working capital</t>
        </is>
      </c>
      <c r="B7" s="2" t="inlineStr">
        <is>
          <t>Estimated saving</t>
        </is>
      </c>
      <c r="C7" s="12">
        <f>M_WorkingCapital*CoC/M_CoC_Measure</f>
        <v/>
      </c>
      <c r="D7" s="13">
        <f>Eff_PayToTerms</f>
        <v/>
      </c>
      <c r="E7" s="14">
        <f>C7*D7</f>
        <v/>
      </c>
      <c r="F7" s="15" t="n">
        <v>0</v>
      </c>
      <c r="G7" s="15" t="n">
        <v>0</v>
      </c>
      <c r="H7" s="14">
        <f>F7*Rate_IT+G7*Rate_Internal</f>
        <v/>
      </c>
      <c r="I7" s="14">
        <f>H7*Cost_Multiplier</f>
        <v/>
      </c>
      <c r="J7" s="15" t="n">
        <v>0</v>
      </c>
      <c r="K7" s="14">
        <f>J7*Rate_Internal*Cost_Multiplier</f>
        <v/>
      </c>
      <c r="L7" s="4" t="inlineStr">
        <is>
          <t>AP Manager (Treasury consulted)</t>
        </is>
      </c>
    </row>
    <row r="8">
      <c r="A8" s="2" t="inlineStr">
        <is>
          <t>Payment block without approval</t>
        </is>
      </c>
      <c r="B8" s="2" t="inlineStr">
        <is>
          <t>Control only</t>
        </is>
      </c>
      <c r="C8" s="14" t="n">
        <v>0</v>
      </c>
      <c r="D8" s="7" t="n">
        <v>0</v>
      </c>
      <c r="E8" s="14">
        <f>C8*D8</f>
        <v/>
      </c>
      <c r="F8" s="15" t="n">
        <v>2</v>
      </c>
      <c r="G8" s="15" t="n">
        <v>1</v>
      </c>
      <c r="H8" s="14">
        <f>F8*Rate_IT+G8*Rate_Internal</f>
        <v/>
      </c>
      <c r="I8" s="14">
        <f>H8*Cost_Multiplier</f>
        <v/>
      </c>
      <c r="J8" s="15" t="n">
        <v>0</v>
      </c>
      <c r="K8" s="14">
        <f>J8*Rate_Internal*Cost_Multiplier</f>
        <v/>
      </c>
      <c r="L8" s="4" t="inlineStr">
        <is>
          <t>AP Manager, Internal Audit</t>
        </is>
      </c>
    </row>
    <row r="9">
      <c r="A9" s="2" t="inlineStr">
        <is>
          <t>Programme management and training</t>
        </is>
      </c>
      <c r="B9" s="2" t="inlineStr">
        <is>
          <t>Control only</t>
        </is>
      </c>
      <c r="C9" s="14" t="n">
        <v>0</v>
      </c>
      <c r="D9" s="7" t="n">
        <v>0</v>
      </c>
      <c r="E9" s="14">
        <f>C9*D9</f>
        <v/>
      </c>
      <c r="F9" s="15" t="n">
        <v>0</v>
      </c>
      <c r="G9" s="15" t="n">
        <v>15</v>
      </c>
      <c r="H9" s="14">
        <f>F9*Rate_IT+G9*Rate_Internal</f>
        <v/>
      </c>
      <c r="I9" s="14">
        <f>H9*Cost_Multiplier</f>
        <v/>
      </c>
      <c r="J9" s="15" t="n">
        <v>0</v>
      </c>
      <c r="K9" s="14">
        <f>J9*Rate_Internal*Cost_Multiplier</f>
        <v/>
      </c>
      <c r="L9" s="4" t="inlineStr">
        <is>
          <t>AP Manager</t>
        </is>
      </c>
    </row>
    <row r="11">
      <c r="A11" s="1" t="inlineStr">
        <is>
          <t>Hard benefit a year</t>
        </is>
      </c>
      <c r="E11" s="16">
        <f>SUMIF(B2:B9,"Hard benefit",E2:E9)</f>
        <v/>
      </c>
    </row>
    <row r="12">
      <c r="A12" s="1" t="inlineStr">
        <is>
          <t>Estimated saving a year</t>
        </is>
      </c>
      <c r="E12" s="16">
        <f>SUMIF(B2:B9,"Estimated saving",E2:E9)</f>
        <v/>
      </c>
    </row>
    <row r="13">
      <c r="A13" s="1" t="inlineStr">
        <is>
          <t>One-off investment</t>
        </is>
      </c>
      <c r="E13" s="16">
        <f>SUM(I2:I9)</f>
        <v/>
      </c>
    </row>
    <row r="14">
      <c r="A14" s="1" t="inlineStr">
        <is>
          <t>One-off investment at estimate</t>
        </is>
      </c>
      <c r="E14" s="16">
        <f>SUM(H2:H9)</f>
        <v/>
      </c>
    </row>
    <row r="15">
      <c r="A15" s="1" t="inlineStr">
        <is>
          <t>Running cost a year</t>
        </is>
      </c>
      <c r="E15" s="16">
        <f>SUM(K2:K9)</f>
        <v/>
      </c>
    </row>
    <row r="16">
      <c r="A16" s="1" t="inlineStr">
        <is>
          <t>Running cost a year at estimate</t>
        </is>
      </c>
      <c r="E16" s="16">
        <f>SUMPRODUCT(J2:J9)*Rate_Internal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Hard benefits only (the headline)</t>
        </is>
      </c>
    </row>
    <row r="2">
      <c r="A2" s="17" t="inlineStr">
        <is>
          <t>€</t>
        </is>
      </c>
      <c r="B2" s="17" t="inlineStr">
        <is>
          <t>Year 0</t>
        </is>
      </c>
      <c r="C2" s="17" t="inlineStr">
        <is>
          <t>Year 1</t>
        </is>
      </c>
      <c r="D2" s="17" t="inlineStr">
        <is>
          <t>Year 2</t>
        </is>
      </c>
      <c r="E2" s="17" t="inlineStr">
        <is>
          <t>Year 3</t>
        </is>
      </c>
    </row>
    <row r="3">
      <c r="A3" s="2" t="inlineStr">
        <is>
          <t>Benefit</t>
        </is>
      </c>
      <c r="B3" s="14">
        <f>0</f>
        <v/>
      </c>
      <c r="C3" s="14">
        <f>Hard_Benefit*Ramp_Y1</f>
        <v/>
      </c>
      <c r="D3" s="14">
        <f>Hard_Benefit</f>
        <v/>
      </c>
      <c r="E3" s="14">
        <f>Hard_Benefit</f>
        <v/>
      </c>
    </row>
    <row r="4">
      <c r="A4" s="2" t="inlineStr">
        <is>
          <t>Duplicates recovered (one-off)</t>
        </is>
      </c>
      <c r="B4" s="14">
        <f>0</f>
        <v/>
      </c>
      <c r="C4" s="14">
        <f>M_PaidDuplicates*Recovery_Rate</f>
        <v/>
      </c>
      <c r="D4" s="14">
        <f>0</f>
        <v/>
      </c>
      <c r="E4" s="14">
        <f>0</f>
        <v/>
      </c>
    </row>
    <row r="5">
      <c r="A5" s="2" t="inlineStr">
        <is>
          <t>Cost</t>
        </is>
      </c>
      <c r="B5" s="14">
        <f>-Investment</f>
        <v/>
      </c>
      <c r="C5" s="14">
        <f>-Run_Cost</f>
        <v/>
      </c>
      <c r="D5" s="14">
        <f>-Run_Cost</f>
        <v/>
      </c>
      <c r="E5" s="14">
        <f>-Run_Cost</f>
        <v/>
      </c>
    </row>
    <row r="6">
      <c r="A6" s="1" t="inlineStr">
        <is>
          <t>Net cash flow</t>
        </is>
      </c>
      <c r="B6" s="16">
        <f>SUM(B3:B5)</f>
        <v/>
      </c>
      <c r="C6" s="16">
        <f>SUM(C3:C5)</f>
        <v/>
      </c>
      <c r="D6" s="16">
        <f>SUM(D3:D5)</f>
        <v/>
      </c>
      <c r="E6" s="16">
        <f>SUM(E3:E5)</f>
        <v/>
      </c>
    </row>
    <row r="7">
      <c r="A7" s="2" t="inlineStr">
        <is>
          <t>Discount factor</t>
        </is>
      </c>
      <c r="B7" s="18">
        <f>1/(1+CoC)^0</f>
        <v/>
      </c>
      <c r="C7" s="18">
        <f>1/(1+CoC)^1</f>
        <v/>
      </c>
      <c r="D7" s="18">
        <f>1/(1+CoC)^2</f>
        <v/>
      </c>
      <c r="E7" s="18">
        <f>1/(1+CoC)^3</f>
        <v/>
      </c>
    </row>
    <row r="8">
      <c r="A8" s="2" t="inlineStr">
        <is>
          <t>Discounted</t>
        </is>
      </c>
      <c r="B8" s="14">
        <f>B6*B7</f>
        <v/>
      </c>
      <c r="C8" s="14">
        <f>C6*C7</f>
        <v/>
      </c>
      <c r="D8" s="14">
        <f>D6*D7</f>
        <v/>
      </c>
      <c r="E8" s="14">
        <f>E6*E7</f>
        <v/>
      </c>
    </row>
    <row r="9">
      <c r="A9" s="2" t="inlineStr">
        <is>
          <t>Running total</t>
        </is>
      </c>
      <c r="B9" s="14">
        <f>B6</f>
        <v/>
      </c>
      <c r="C9" s="14">
        <f>B9+C6</f>
        <v/>
      </c>
      <c r="D9" s="14">
        <f>C9+D6</f>
        <v/>
      </c>
      <c r="E9" s="14">
        <f>D9+E6</f>
        <v/>
      </c>
    </row>
    <row r="11">
      <c r="A11" s="1" t="inlineStr">
        <is>
          <t>NPV (3 years)</t>
        </is>
      </c>
      <c r="B11" s="16">
        <f>SUM(B8:E8)</f>
        <v/>
      </c>
    </row>
    <row r="12">
      <c r="A12" s="1" t="inlineStr">
        <is>
          <t>ROI (3 years)</t>
        </is>
      </c>
      <c r="B12" s="19">
        <f>(SUM(C6:E6)+B6)/-B6</f>
        <v/>
      </c>
    </row>
    <row r="13">
      <c r="A13" s="1" t="inlineStr">
        <is>
          <t>Payback (months)</t>
        </is>
      </c>
      <c r="B13" s="20">
        <f>IF(C9&gt;=0,-B9/C6*12,IF(D9&gt;=0,12-C9/D6*12,IF(E9&gt;=0,24-D9/E6*12,"Not within 3 years")))</f>
        <v/>
      </c>
    </row>
    <row r="15">
      <c r="A15" s="1" t="inlineStr">
        <is>
          <t>Including estimated savings (never the headline)</t>
        </is>
      </c>
    </row>
    <row r="16">
      <c r="A16" s="17" t="inlineStr">
        <is>
          <t>€</t>
        </is>
      </c>
      <c r="B16" s="17" t="inlineStr">
        <is>
          <t>Year 0</t>
        </is>
      </c>
      <c r="C16" s="17" t="inlineStr">
        <is>
          <t>Year 1</t>
        </is>
      </c>
      <c r="D16" s="17" t="inlineStr">
        <is>
          <t>Year 2</t>
        </is>
      </c>
      <c r="E16" s="17" t="inlineStr">
        <is>
          <t>Year 3</t>
        </is>
      </c>
    </row>
    <row r="17">
      <c r="A17" s="2" t="inlineStr">
        <is>
          <t>Benefit</t>
        </is>
      </c>
      <c r="B17" s="14">
        <f>0</f>
        <v/>
      </c>
      <c r="C17" s="14">
        <f>(Hard_Benefit+Estimated_Saving)*Ramp_Y1</f>
        <v/>
      </c>
      <c r="D17" s="14">
        <f>(Hard_Benefit+Estimated_Saving)</f>
        <v/>
      </c>
      <c r="E17" s="14">
        <f>(Hard_Benefit+Estimated_Saving)</f>
        <v/>
      </c>
    </row>
    <row r="18">
      <c r="A18" s="2" t="inlineStr">
        <is>
          <t>Duplicates recovered (one-off)</t>
        </is>
      </c>
      <c r="B18" s="14">
        <f>0</f>
        <v/>
      </c>
      <c r="C18" s="14">
        <f>M_PaidDuplicates*Recovery_Rate</f>
        <v/>
      </c>
      <c r="D18" s="14">
        <f>0</f>
        <v/>
      </c>
      <c r="E18" s="14">
        <f>0</f>
        <v/>
      </c>
    </row>
    <row r="19">
      <c r="A19" s="2" t="inlineStr">
        <is>
          <t>Cost</t>
        </is>
      </c>
      <c r="B19" s="14">
        <f>-Investment</f>
        <v/>
      </c>
      <c r="C19" s="14">
        <f>-Run_Cost</f>
        <v/>
      </c>
      <c r="D19" s="14">
        <f>-Run_Cost</f>
        <v/>
      </c>
      <c r="E19" s="14">
        <f>-Run_Cost</f>
        <v/>
      </c>
    </row>
    <row r="20">
      <c r="A20" s="1" t="inlineStr">
        <is>
          <t>Net cash flow</t>
        </is>
      </c>
      <c r="B20" s="16">
        <f>SUM(B17:B19)</f>
        <v/>
      </c>
      <c r="C20" s="16">
        <f>SUM(C17:C19)</f>
        <v/>
      </c>
      <c r="D20" s="16">
        <f>SUM(D17:D19)</f>
        <v/>
      </c>
      <c r="E20" s="16">
        <f>SUM(E17:E19)</f>
        <v/>
      </c>
    </row>
    <row r="21">
      <c r="A21" s="2" t="inlineStr">
        <is>
          <t>Discount factor</t>
        </is>
      </c>
      <c r="B21" s="18">
        <f>1/(1+CoC)^0</f>
        <v/>
      </c>
      <c r="C21" s="18">
        <f>1/(1+CoC)^1</f>
        <v/>
      </c>
      <c r="D21" s="18">
        <f>1/(1+CoC)^2</f>
        <v/>
      </c>
      <c r="E21" s="18">
        <f>1/(1+CoC)^3</f>
        <v/>
      </c>
    </row>
    <row r="22">
      <c r="A22" s="2" t="inlineStr">
        <is>
          <t>Discounted</t>
        </is>
      </c>
      <c r="B22" s="14">
        <f>B20*B21</f>
        <v/>
      </c>
      <c r="C22" s="14">
        <f>C20*C21</f>
        <v/>
      </c>
      <c r="D22" s="14">
        <f>D20*D21</f>
        <v/>
      </c>
      <c r="E22" s="14">
        <f>E20*E21</f>
        <v/>
      </c>
    </row>
    <row r="23">
      <c r="A23" s="2" t="inlineStr">
        <is>
          <t>Running total</t>
        </is>
      </c>
      <c r="B23" s="14">
        <f>B20</f>
        <v/>
      </c>
      <c r="C23" s="14">
        <f>B23+C20</f>
        <v/>
      </c>
      <c r="D23" s="14">
        <f>C23+D20</f>
        <v/>
      </c>
      <c r="E23" s="14">
        <f>D23+E20</f>
        <v/>
      </c>
    </row>
    <row r="25">
      <c r="A25" s="1" t="inlineStr">
        <is>
          <t>NPV (3 years)</t>
        </is>
      </c>
      <c r="B25" s="16">
        <f>SUM(B22:E22)</f>
        <v/>
      </c>
    </row>
    <row r="26">
      <c r="A26" s="1" t="inlineStr">
        <is>
          <t>ROI (3 years)</t>
        </is>
      </c>
      <c r="B26" s="19">
        <f>(SUM(C20:E20)+B20)/-B20</f>
        <v/>
      </c>
    </row>
    <row r="27">
      <c r="A27" s="1" t="inlineStr">
        <is>
          <t>Payback (months)</t>
        </is>
      </c>
      <c r="B27" s="20">
        <f>IF(C23&gt;=0,-B23/C20*12,IF(D23&gt;=0,12-C23/D20*12,IF(E23&gt;=0,24-D23/E20*12,"Not within 3 years")))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€</t>
        </is>
      </c>
      <c r="B1" s="5" t="inlineStr">
        <is>
          <t>Worst</t>
        </is>
      </c>
      <c r="C1" s="5" t="inlineStr">
        <is>
          <t>Base</t>
        </is>
      </c>
      <c r="D1" s="5" t="inlineStr">
        <is>
          <t>Best</t>
        </is>
      </c>
    </row>
    <row r="2">
      <c r="A2" s="2" t="inlineStr">
        <is>
          <t>Hard benefit a year</t>
        </is>
      </c>
      <c r="B2" s="14">
        <f>M_Duplicates*Eff_Duplicates_Worst+M_PaymentRun*Eff_PayToTerms_Worst+M_SlowApproval*Eff_Approval_Worst+M_Rework*Eff_EntryValidation_Worst</f>
        <v/>
      </c>
      <c r="C2" s="14">
        <f>M_Duplicates*Eff_Duplicates_Base+M_PaymentRun*Eff_PayToTerms_Base+M_SlowApproval*Eff_Approval_Base+M_Rework*Eff_EntryValidation_Base</f>
        <v/>
      </c>
      <c r="D2" s="14">
        <f>M_Duplicates*Eff_Duplicates_Best+M_PaymentRun*Eff_PayToTerms_Best+M_SlowApproval*Eff_Approval_Best+M_Rework*Eff_EntryValidation_Best</f>
        <v/>
      </c>
    </row>
    <row r="3">
      <c r="A3" s="2" t="inlineStr">
        <is>
          <t>Estimated saving a year</t>
        </is>
      </c>
      <c r="B3" s="14">
        <f>M_NoPOSpend*PO_Premium_Worst*Eff_POCompliance_Worst+M_WorkingCapital*CoC_Worst/M_CoC_Measure*Eff_PayToTerms_Worst</f>
        <v/>
      </c>
      <c r="C3" s="14">
        <f>M_NoPOSpend*PO_Premium_Base*Eff_POCompliance_Base+M_WorkingCapital*CoC_Base/M_CoC_Measure*Eff_PayToTerms_Base</f>
        <v/>
      </c>
      <c r="D3" s="14">
        <f>M_NoPOSpend*PO_Premium_Best*Eff_POCompliance_Best+M_WorkingCapital*CoC_Best/M_CoC_Measure*Eff_PayToTerms_Best</f>
        <v/>
      </c>
    </row>
    <row r="4">
      <c r="A4" s="2" t="inlineStr">
        <is>
          <t>Investment</t>
        </is>
      </c>
      <c r="B4" s="14">
        <f>Investment_Estimate*Cost_Multiplier_Worst</f>
        <v/>
      </c>
      <c r="C4" s="14">
        <f>Investment_Estimate*Cost_Multiplier_Base</f>
        <v/>
      </c>
      <c r="D4" s="14">
        <f>Investment_Estimate*Cost_Multiplier_Best</f>
        <v/>
      </c>
    </row>
    <row r="5">
      <c r="A5" s="2" t="inlineStr">
        <is>
          <t>Running cost a year</t>
        </is>
      </c>
      <c r="B5" s="14">
        <f>Run_Cost_Estimate*Cost_Multiplier_Worst</f>
        <v/>
      </c>
      <c r="C5" s="14">
        <f>Run_Cost_Estimate*Cost_Multiplier_Base</f>
        <v/>
      </c>
      <c r="D5" s="14">
        <f>Run_Cost_Estimate*Cost_Multiplier_Best</f>
        <v/>
      </c>
    </row>
    <row r="6">
      <c r="A6" s="2" t="inlineStr">
        <is>
          <t>Net cash flow, year 1</t>
        </is>
      </c>
      <c r="B6" s="14">
        <f>B2*Ramp_Y1_Worst+M_PaidDuplicates*Recovery_Rate_Worst-B5</f>
        <v/>
      </c>
      <c r="C6" s="14">
        <f>C2*Ramp_Y1_Base+M_PaidDuplicates*Recovery_Rate_Base-C5</f>
        <v/>
      </c>
      <c r="D6" s="14">
        <f>D2*Ramp_Y1_Best+M_PaidDuplicates*Recovery_Rate_Best-D5</f>
        <v/>
      </c>
    </row>
    <row r="7">
      <c r="A7" s="2" t="inlineStr">
        <is>
          <t>Net cash flow, years 2 and 3</t>
        </is>
      </c>
      <c r="B7" s="14">
        <f>B2-B5</f>
        <v/>
      </c>
      <c r="C7" s="14">
        <f>C2-C5</f>
        <v/>
      </c>
      <c r="D7" s="14">
        <f>D2-D5</f>
        <v/>
      </c>
    </row>
    <row r="8">
      <c r="A8" s="1" t="inlineStr">
        <is>
          <t>NPV, hard benefits</t>
        </is>
      </c>
      <c r="B8" s="16">
        <f>-B4+B6/(1+CoC_Worst)+B7*(1/(1+CoC_Worst)^2+1/(1+CoC_Worst)^3)</f>
        <v/>
      </c>
      <c r="C8" s="16">
        <f>-C4+C6/(1+CoC_Base)+C7*(1/(1+CoC_Base)^2+1/(1+CoC_Base)^3)</f>
        <v/>
      </c>
      <c r="D8" s="16">
        <f>-D4+D6/(1+CoC_Best)+D7*(1/(1+CoC_Best)^2+1/(1+CoC_Best)^3)</f>
        <v/>
      </c>
    </row>
    <row r="9">
      <c r="A9" s="2" t="inlineStr">
        <is>
          <t>ROI, hard benefits</t>
        </is>
      </c>
      <c r="B9" s="7">
        <f>(B6+2*B7-B4)/B4</f>
        <v/>
      </c>
      <c r="C9" s="7">
        <f>(C6+2*C7-C4)/C4</f>
        <v/>
      </c>
      <c r="D9" s="7">
        <f>(D6+2*D7-D4)/D4</f>
        <v/>
      </c>
    </row>
    <row r="10">
      <c r="A10" s="2" t="inlineStr">
        <is>
          <t>Payback (months)</t>
        </is>
      </c>
      <c r="B10" s="21">
        <f>IF(B6&gt;=B4,B4/B6*12,12+(B4-B6)/B7*12)</f>
        <v/>
      </c>
      <c r="C10" s="21">
        <f>IF(C6&gt;=C4,C4/C6*12,12+(C4-C6)/C7*12)</f>
        <v/>
      </c>
      <c r="D10" s="21">
        <f>IF(D6&gt;=D4,D4/D6*12,12+(D4-D6)/D7*12)</f>
        <v/>
      </c>
    </row>
    <row r="11">
      <c r="A11" s="1" t="inlineStr">
        <is>
          <t>NPV without the one-off claim-back</t>
        </is>
      </c>
      <c r="B11" s="16">
        <f>B8-M_PaidDuplicates*Recovery_Rate_Worst/(1+CoC_Worst)</f>
        <v/>
      </c>
      <c r="C11" s="16">
        <f>C8-M_PaidDuplicates*Recovery_Rate_Base/(1+CoC_Base)</f>
        <v/>
      </c>
      <c r="D11" s="16">
        <f>D8-M_PaidDuplicates*Recovery_Rate_Best/(1+CoC_Best)</f>
        <v/>
      </c>
    </row>
    <row r="12">
      <c r="A12" s="1" t="inlineStr">
        <is>
          <t>NPV including estimated savings</t>
        </is>
      </c>
      <c r="B12" s="16">
        <f>B8+B3*(Ramp_Y1_Worst/(1+CoC_Worst)+1/(1+CoC_Worst)^2+1/(1+CoC_Worst)^3)</f>
        <v/>
      </c>
      <c r="C12" s="16">
        <f>C8+C3*(Ramp_Y1_Base/(1+CoC_Base)+1/(1+CoC_Base)^2+1/(1+CoC_Base)^3)</f>
        <v/>
      </c>
      <c r="D12" s="16">
        <f>D8+D3*(Ramp_Y1_Best/(1+CoC_Best)+1/(1+CoC_Best)^2+1/(1+CoC_Best)^3)</f>
        <v/>
      </c>
    </row>
    <row r="14">
      <c r="A14" s="4" t="inlineStr">
        <is>
          <t>Payback assumes it falls within years 1–2, as in every case here; the Cash flow sheet computes it year by year.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</cols>
  <sheetData>
    <row r="1" ht="45" customHeight="1">
      <c r="A1" s="5" t="inlineStr">
        <is>
          <t>Assumption</t>
        </is>
      </c>
      <c r="B1" s="5" t="inlineStr">
        <is>
          <t>Set to</t>
        </is>
      </c>
      <c r="C1" s="5" t="inlineStr">
        <is>
          <t>Duplicates prevented</t>
        </is>
      </c>
      <c r="D1" s="5" t="inlineStr">
        <is>
          <t>Pay-to-terms effectiveness</t>
        </is>
      </c>
      <c r="E1" s="5" t="inlineStr">
        <is>
          <t>Late approvals avoided</t>
        </is>
      </c>
      <c r="F1" s="5" t="inlineStr">
        <is>
          <t>Rework prevented at entry</t>
        </is>
      </c>
      <c r="G1" s="5" t="inlineStr">
        <is>
          <t>Paid duplicates recovered</t>
        </is>
      </c>
      <c r="H1" s="5" t="inlineStr">
        <is>
          <t>Implementation and running cost</t>
        </is>
      </c>
      <c r="I1" s="5" t="inlineStr">
        <is>
          <t>Cost of capital (discount rate)</t>
        </is>
      </c>
      <c r="J1" s="5" t="inlineStr">
        <is>
          <t>Year-1 benefit realised</t>
        </is>
      </c>
      <c r="K1" s="5" t="inlineStr">
        <is>
          <t>Hard benefit</t>
        </is>
      </c>
      <c r="L1" s="5" t="inlineStr">
        <is>
          <t>Investment</t>
        </is>
      </c>
      <c r="M1" s="5" t="inlineStr">
        <is>
          <t>Running cost</t>
        </is>
      </c>
      <c r="N1" s="5" t="inlineStr">
        <is>
          <t>Year 1 net</t>
        </is>
      </c>
      <c r="O1" s="5" t="inlineStr">
        <is>
          <t>Years 2–3 net</t>
        </is>
      </c>
      <c r="P1" s="5" t="inlineStr">
        <is>
          <t>NPV, hard benefits</t>
        </is>
      </c>
    </row>
    <row r="2">
      <c r="A2" s="2" t="inlineStr">
        <is>
          <t>Implementation and running cost</t>
        </is>
      </c>
      <c r="B2" s="2" t="inlineStr">
        <is>
          <t>Worst</t>
        </is>
      </c>
      <c r="C2" s="13">
        <f>Eff_Duplicates_Base</f>
        <v/>
      </c>
      <c r="D2" s="13">
        <f>Eff_PayToTerms_Base</f>
        <v/>
      </c>
      <c r="E2" s="13">
        <f>Eff_Approval_Base</f>
        <v/>
      </c>
      <c r="F2" s="13">
        <f>Eff_EntryValidation_Base</f>
        <v/>
      </c>
      <c r="G2" s="13">
        <f>Recovery_Rate_Base</f>
        <v/>
      </c>
      <c r="H2" s="22">
        <f>Cost_Multiplier_Worst</f>
        <v/>
      </c>
      <c r="I2" s="13">
        <f>CoC_Base</f>
        <v/>
      </c>
      <c r="J2" s="13">
        <f>Ramp_Y1_Base</f>
        <v/>
      </c>
      <c r="K2" s="14">
        <f>M_Duplicates*C2+M_PaymentRun*D2+M_SlowApproval*E2+M_Rework*F2</f>
        <v/>
      </c>
      <c r="L2" s="14">
        <f>Investment_Estimate*H2</f>
        <v/>
      </c>
      <c r="M2" s="14">
        <f>Run_Cost_Estimate*H2</f>
        <v/>
      </c>
      <c r="N2" s="14">
        <f>K2*J2+M_PaidDuplicates*G2-M2</f>
        <v/>
      </c>
      <c r="O2" s="14">
        <f>K2-M2</f>
        <v/>
      </c>
      <c r="P2" s="14">
        <f>-L2+N2/(1+I2)+O2*(1/(1+I2)^2+1/(1+I2)^3)</f>
        <v/>
      </c>
    </row>
    <row r="3">
      <c r="A3" s="2" t="inlineStr">
        <is>
          <t>Implementation and running cost</t>
        </is>
      </c>
      <c r="B3" s="2" t="inlineStr">
        <is>
          <t>Best</t>
        </is>
      </c>
      <c r="C3" s="13">
        <f>Eff_Duplicates_Base</f>
        <v/>
      </c>
      <c r="D3" s="13">
        <f>Eff_PayToTerms_Base</f>
        <v/>
      </c>
      <c r="E3" s="13">
        <f>Eff_Approval_Base</f>
        <v/>
      </c>
      <c r="F3" s="13">
        <f>Eff_EntryValidation_Base</f>
        <v/>
      </c>
      <c r="G3" s="13">
        <f>Recovery_Rate_Base</f>
        <v/>
      </c>
      <c r="H3" s="22">
        <f>Cost_Multiplier_Best</f>
        <v/>
      </c>
      <c r="I3" s="13">
        <f>CoC_Base</f>
        <v/>
      </c>
      <c r="J3" s="13">
        <f>Ramp_Y1_Base</f>
        <v/>
      </c>
      <c r="K3" s="14">
        <f>M_Duplicates*C3+M_PaymentRun*D3+M_SlowApproval*E3+M_Rework*F3</f>
        <v/>
      </c>
      <c r="L3" s="14">
        <f>Investment_Estimate*H3</f>
        <v/>
      </c>
      <c r="M3" s="14">
        <f>Run_Cost_Estimate*H3</f>
        <v/>
      </c>
      <c r="N3" s="14">
        <f>K3*J3+M_PaidDuplicates*G3-M3</f>
        <v/>
      </c>
      <c r="O3" s="14">
        <f>K3-M3</f>
        <v/>
      </c>
      <c r="P3" s="14">
        <f>-L3+N3/(1+I3)+O3*(1/(1+I3)^2+1/(1+I3)^3)</f>
        <v/>
      </c>
    </row>
    <row r="4">
      <c r="A4" s="2" t="inlineStr">
        <is>
          <t>Duplicates prevented</t>
        </is>
      </c>
      <c r="B4" s="2" t="inlineStr">
        <is>
          <t>Worst</t>
        </is>
      </c>
      <c r="C4" s="13">
        <f>Eff_Duplicates_Worst</f>
        <v/>
      </c>
      <c r="D4" s="13">
        <f>Eff_PayToTerms_Base</f>
        <v/>
      </c>
      <c r="E4" s="13">
        <f>Eff_Approval_Base</f>
        <v/>
      </c>
      <c r="F4" s="13">
        <f>Eff_EntryValidation_Base</f>
        <v/>
      </c>
      <c r="G4" s="13">
        <f>Recovery_Rate_Base</f>
        <v/>
      </c>
      <c r="H4" s="22">
        <f>Cost_Multiplier_Base</f>
        <v/>
      </c>
      <c r="I4" s="13">
        <f>CoC_Base</f>
        <v/>
      </c>
      <c r="J4" s="13">
        <f>Ramp_Y1_Base</f>
        <v/>
      </c>
      <c r="K4" s="14">
        <f>M_Duplicates*C4+M_PaymentRun*D4+M_SlowApproval*E4+M_Rework*F4</f>
        <v/>
      </c>
      <c r="L4" s="14">
        <f>Investment_Estimate*H4</f>
        <v/>
      </c>
      <c r="M4" s="14">
        <f>Run_Cost_Estimate*H4</f>
        <v/>
      </c>
      <c r="N4" s="14">
        <f>K4*J4+M_PaidDuplicates*G4-M4</f>
        <v/>
      </c>
      <c r="O4" s="14">
        <f>K4-M4</f>
        <v/>
      </c>
      <c r="P4" s="14">
        <f>-L4+N4/(1+I4)+O4*(1/(1+I4)^2+1/(1+I4)^3)</f>
        <v/>
      </c>
    </row>
    <row r="5">
      <c r="A5" s="2" t="inlineStr">
        <is>
          <t>Duplicates prevented</t>
        </is>
      </c>
      <c r="B5" s="2" t="inlineStr">
        <is>
          <t>Best</t>
        </is>
      </c>
      <c r="C5" s="13">
        <f>Eff_Duplicates_Best</f>
        <v/>
      </c>
      <c r="D5" s="13">
        <f>Eff_PayToTerms_Base</f>
        <v/>
      </c>
      <c r="E5" s="13">
        <f>Eff_Approval_Base</f>
        <v/>
      </c>
      <c r="F5" s="13">
        <f>Eff_EntryValidation_Base</f>
        <v/>
      </c>
      <c r="G5" s="13">
        <f>Recovery_Rate_Base</f>
        <v/>
      </c>
      <c r="H5" s="22">
        <f>Cost_Multiplier_Base</f>
        <v/>
      </c>
      <c r="I5" s="13">
        <f>CoC_Base</f>
        <v/>
      </c>
      <c r="J5" s="13">
        <f>Ramp_Y1_Base</f>
        <v/>
      </c>
      <c r="K5" s="14">
        <f>M_Duplicates*C5+M_PaymentRun*D5+M_SlowApproval*E5+M_Rework*F5</f>
        <v/>
      </c>
      <c r="L5" s="14">
        <f>Investment_Estimate*H5</f>
        <v/>
      </c>
      <c r="M5" s="14">
        <f>Run_Cost_Estimate*H5</f>
        <v/>
      </c>
      <c r="N5" s="14">
        <f>K5*J5+M_PaidDuplicates*G5-M5</f>
        <v/>
      </c>
      <c r="O5" s="14">
        <f>K5-M5</f>
        <v/>
      </c>
      <c r="P5" s="14">
        <f>-L5+N5/(1+I5)+O5*(1/(1+I5)^2+1/(1+I5)^3)</f>
        <v/>
      </c>
    </row>
    <row r="6">
      <c r="A6" s="2" t="inlineStr">
        <is>
          <t>Year-1 benefit realised</t>
        </is>
      </c>
      <c r="B6" s="2" t="inlineStr">
        <is>
          <t>Worst</t>
        </is>
      </c>
      <c r="C6" s="13">
        <f>Eff_Duplicates_Base</f>
        <v/>
      </c>
      <c r="D6" s="13">
        <f>Eff_PayToTerms_Base</f>
        <v/>
      </c>
      <c r="E6" s="13">
        <f>Eff_Approval_Base</f>
        <v/>
      </c>
      <c r="F6" s="13">
        <f>Eff_EntryValidation_Base</f>
        <v/>
      </c>
      <c r="G6" s="13">
        <f>Recovery_Rate_Base</f>
        <v/>
      </c>
      <c r="H6" s="22">
        <f>Cost_Multiplier_Base</f>
        <v/>
      </c>
      <c r="I6" s="13">
        <f>CoC_Base</f>
        <v/>
      </c>
      <c r="J6" s="13">
        <f>Ramp_Y1_Worst</f>
        <v/>
      </c>
      <c r="K6" s="14">
        <f>M_Duplicates*C6+M_PaymentRun*D6+M_SlowApproval*E6+M_Rework*F6</f>
        <v/>
      </c>
      <c r="L6" s="14">
        <f>Investment_Estimate*H6</f>
        <v/>
      </c>
      <c r="M6" s="14">
        <f>Run_Cost_Estimate*H6</f>
        <v/>
      </c>
      <c r="N6" s="14">
        <f>K6*J6+M_PaidDuplicates*G6-M6</f>
        <v/>
      </c>
      <c r="O6" s="14">
        <f>K6-M6</f>
        <v/>
      </c>
      <c r="P6" s="14">
        <f>-L6+N6/(1+I6)+O6*(1/(1+I6)^2+1/(1+I6)^3)</f>
        <v/>
      </c>
    </row>
    <row r="7">
      <c r="A7" s="2" t="inlineStr">
        <is>
          <t>Year-1 benefit realised</t>
        </is>
      </c>
      <c r="B7" s="2" t="inlineStr">
        <is>
          <t>Best</t>
        </is>
      </c>
      <c r="C7" s="13">
        <f>Eff_Duplicates_Base</f>
        <v/>
      </c>
      <c r="D7" s="13">
        <f>Eff_PayToTerms_Base</f>
        <v/>
      </c>
      <c r="E7" s="13">
        <f>Eff_Approval_Base</f>
        <v/>
      </c>
      <c r="F7" s="13">
        <f>Eff_EntryValidation_Base</f>
        <v/>
      </c>
      <c r="G7" s="13">
        <f>Recovery_Rate_Base</f>
        <v/>
      </c>
      <c r="H7" s="22">
        <f>Cost_Multiplier_Base</f>
        <v/>
      </c>
      <c r="I7" s="13">
        <f>CoC_Base</f>
        <v/>
      </c>
      <c r="J7" s="13">
        <f>Ramp_Y1_Best</f>
        <v/>
      </c>
      <c r="K7" s="14">
        <f>M_Duplicates*C7+M_PaymentRun*D7+M_SlowApproval*E7+M_Rework*F7</f>
        <v/>
      </c>
      <c r="L7" s="14">
        <f>Investment_Estimate*H7</f>
        <v/>
      </c>
      <c r="M7" s="14">
        <f>Run_Cost_Estimate*H7</f>
        <v/>
      </c>
      <c r="N7" s="14">
        <f>K7*J7+M_PaidDuplicates*G7-M7</f>
        <v/>
      </c>
      <c r="O7" s="14">
        <f>K7-M7</f>
        <v/>
      </c>
      <c r="P7" s="14">
        <f>-L7+N7/(1+I7)+O7*(1/(1+I7)^2+1/(1+I7)^3)</f>
        <v/>
      </c>
    </row>
    <row r="8">
      <c r="A8" s="2" t="inlineStr">
        <is>
          <t>Paid duplicates recovered</t>
        </is>
      </c>
      <c r="B8" s="2" t="inlineStr">
        <is>
          <t>Worst</t>
        </is>
      </c>
      <c r="C8" s="13">
        <f>Eff_Duplicates_Base</f>
        <v/>
      </c>
      <c r="D8" s="13">
        <f>Eff_PayToTerms_Base</f>
        <v/>
      </c>
      <c r="E8" s="13">
        <f>Eff_Approval_Base</f>
        <v/>
      </c>
      <c r="F8" s="13">
        <f>Eff_EntryValidation_Base</f>
        <v/>
      </c>
      <c r="G8" s="13">
        <f>Recovery_Rate_Worst</f>
        <v/>
      </c>
      <c r="H8" s="22">
        <f>Cost_Multiplier_Base</f>
        <v/>
      </c>
      <c r="I8" s="13">
        <f>CoC_Base</f>
        <v/>
      </c>
      <c r="J8" s="13">
        <f>Ramp_Y1_Base</f>
        <v/>
      </c>
      <c r="K8" s="14">
        <f>M_Duplicates*C8+M_PaymentRun*D8+M_SlowApproval*E8+M_Rework*F8</f>
        <v/>
      </c>
      <c r="L8" s="14">
        <f>Investment_Estimate*H8</f>
        <v/>
      </c>
      <c r="M8" s="14">
        <f>Run_Cost_Estimate*H8</f>
        <v/>
      </c>
      <c r="N8" s="14">
        <f>K8*J8+M_PaidDuplicates*G8-M8</f>
        <v/>
      </c>
      <c r="O8" s="14">
        <f>K8-M8</f>
        <v/>
      </c>
      <c r="P8" s="14">
        <f>-L8+N8/(1+I8)+O8*(1/(1+I8)^2+1/(1+I8)^3)</f>
        <v/>
      </c>
    </row>
    <row r="9">
      <c r="A9" s="2" t="inlineStr">
        <is>
          <t>Paid duplicates recovered</t>
        </is>
      </c>
      <c r="B9" s="2" t="inlineStr">
        <is>
          <t>Best</t>
        </is>
      </c>
      <c r="C9" s="13">
        <f>Eff_Duplicates_Base</f>
        <v/>
      </c>
      <c r="D9" s="13">
        <f>Eff_PayToTerms_Base</f>
        <v/>
      </c>
      <c r="E9" s="13">
        <f>Eff_Approval_Base</f>
        <v/>
      </c>
      <c r="F9" s="13">
        <f>Eff_EntryValidation_Base</f>
        <v/>
      </c>
      <c r="G9" s="13">
        <f>Recovery_Rate_Best</f>
        <v/>
      </c>
      <c r="H9" s="22">
        <f>Cost_Multiplier_Base</f>
        <v/>
      </c>
      <c r="I9" s="13">
        <f>CoC_Base</f>
        <v/>
      </c>
      <c r="J9" s="13">
        <f>Ramp_Y1_Base</f>
        <v/>
      </c>
      <c r="K9" s="14">
        <f>M_Duplicates*C9+M_PaymentRun*D9+M_SlowApproval*E9+M_Rework*F9</f>
        <v/>
      </c>
      <c r="L9" s="14">
        <f>Investment_Estimate*H9</f>
        <v/>
      </c>
      <c r="M9" s="14">
        <f>Run_Cost_Estimate*H9</f>
        <v/>
      </c>
      <c r="N9" s="14">
        <f>K9*J9+M_PaidDuplicates*G9-M9</f>
        <v/>
      </c>
      <c r="O9" s="14">
        <f>K9-M9</f>
        <v/>
      </c>
      <c r="P9" s="14">
        <f>-L9+N9/(1+I9)+O9*(1/(1+I9)^2+1/(1+I9)^3)</f>
        <v/>
      </c>
    </row>
    <row r="10">
      <c r="A10" s="2" t="inlineStr">
        <is>
          <t>Cost of capital (discount rate)</t>
        </is>
      </c>
      <c r="B10" s="2" t="inlineStr">
        <is>
          <t>Worst</t>
        </is>
      </c>
      <c r="C10" s="13">
        <f>Eff_Duplicates_Base</f>
        <v/>
      </c>
      <c r="D10" s="13">
        <f>Eff_PayToTerms_Base</f>
        <v/>
      </c>
      <c r="E10" s="13">
        <f>Eff_Approval_Base</f>
        <v/>
      </c>
      <c r="F10" s="13">
        <f>Eff_EntryValidation_Base</f>
        <v/>
      </c>
      <c r="G10" s="13">
        <f>Recovery_Rate_Base</f>
        <v/>
      </c>
      <c r="H10" s="22">
        <f>Cost_Multiplier_Base</f>
        <v/>
      </c>
      <c r="I10" s="13">
        <f>CoC_Worst</f>
        <v/>
      </c>
      <c r="J10" s="13">
        <f>Ramp_Y1_Base</f>
        <v/>
      </c>
      <c r="K10" s="14">
        <f>M_Duplicates*C10+M_PaymentRun*D10+M_SlowApproval*E10+M_Rework*F10</f>
        <v/>
      </c>
      <c r="L10" s="14">
        <f>Investment_Estimate*H10</f>
        <v/>
      </c>
      <c r="M10" s="14">
        <f>Run_Cost_Estimate*H10</f>
        <v/>
      </c>
      <c r="N10" s="14">
        <f>K10*J10+M_PaidDuplicates*G10-M10</f>
        <v/>
      </c>
      <c r="O10" s="14">
        <f>K10-M10</f>
        <v/>
      </c>
      <c r="P10" s="14">
        <f>-L10+N10/(1+I10)+O10*(1/(1+I10)^2+1/(1+I10)^3)</f>
        <v/>
      </c>
    </row>
    <row r="11">
      <c r="A11" s="2" t="inlineStr">
        <is>
          <t>Cost of capital (discount rate)</t>
        </is>
      </c>
      <c r="B11" s="2" t="inlineStr">
        <is>
          <t>Best</t>
        </is>
      </c>
      <c r="C11" s="13">
        <f>Eff_Duplicates_Base</f>
        <v/>
      </c>
      <c r="D11" s="13">
        <f>Eff_PayToTerms_Base</f>
        <v/>
      </c>
      <c r="E11" s="13">
        <f>Eff_Approval_Base</f>
        <v/>
      </c>
      <c r="F11" s="13">
        <f>Eff_EntryValidation_Base</f>
        <v/>
      </c>
      <c r="G11" s="13">
        <f>Recovery_Rate_Base</f>
        <v/>
      </c>
      <c r="H11" s="22">
        <f>Cost_Multiplier_Base</f>
        <v/>
      </c>
      <c r="I11" s="13">
        <f>CoC_Best</f>
        <v/>
      </c>
      <c r="J11" s="13">
        <f>Ramp_Y1_Base</f>
        <v/>
      </c>
      <c r="K11" s="14">
        <f>M_Duplicates*C11+M_PaymentRun*D11+M_SlowApproval*E11+M_Rework*F11</f>
        <v/>
      </c>
      <c r="L11" s="14">
        <f>Investment_Estimate*H11</f>
        <v/>
      </c>
      <c r="M11" s="14">
        <f>Run_Cost_Estimate*H11</f>
        <v/>
      </c>
      <c r="N11" s="14">
        <f>K11*J11+M_PaidDuplicates*G11-M11</f>
        <v/>
      </c>
      <c r="O11" s="14">
        <f>K11-M11</f>
        <v/>
      </c>
      <c r="P11" s="14">
        <f>-L11+N11/(1+I11)+O11*(1/(1+I11)^2+1/(1+I11)^3)</f>
        <v/>
      </c>
    </row>
    <row r="12">
      <c r="A12" s="2" t="inlineStr">
        <is>
          <t>Pay-to-terms effectiveness</t>
        </is>
      </c>
      <c r="B12" s="2" t="inlineStr">
        <is>
          <t>Worst</t>
        </is>
      </c>
      <c r="C12" s="13">
        <f>Eff_Duplicates_Base</f>
        <v/>
      </c>
      <c r="D12" s="13">
        <f>Eff_PayToTerms_Worst</f>
        <v/>
      </c>
      <c r="E12" s="13">
        <f>Eff_Approval_Base</f>
        <v/>
      </c>
      <c r="F12" s="13">
        <f>Eff_EntryValidation_Base</f>
        <v/>
      </c>
      <c r="G12" s="13">
        <f>Recovery_Rate_Base</f>
        <v/>
      </c>
      <c r="H12" s="22">
        <f>Cost_Multiplier_Base</f>
        <v/>
      </c>
      <c r="I12" s="13">
        <f>CoC_Base</f>
        <v/>
      </c>
      <c r="J12" s="13">
        <f>Ramp_Y1_Base</f>
        <v/>
      </c>
      <c r="K12" s="14">
        <f>M_Duplicates*C12+M_PaymentRun*D12+M_SlowApproval*E12+M_Rework*F12</f>
        <v/>
      </c>
      <c r="L12" s="14">
        <f>Investment_Estimate*H12</f>
        <v/>
      </c>
      <c r="M12" s="14">
        <f>Run_Cost_Estimate*H12</f>
        <v/>
      </c>
      <c r="N12" s="14">
        <f>K12*J12+M_PaidDuplicates*G12-M12</f>
        <v/>
      </c>
      <c r="O12" s="14">
        <f>K12-M12</f>
        <v/>
      </c>
      <c r="P12" s="14">
        <f>-L12+N12/(1+I12)+O12*(1/(1+I12)^2+1/(1+I12)^3)</f>
        <v/>
      </c>
    </row>
    <row r="13">
      <c r="A13" s="2" t="inlineStr">
        <is>
          <t>Pay-to-terms effectiveness</t>
        </is>
      </c>
      <c r="B13" s="2" t="inlineStr">
        <is>
          <t>Best</t>
        </is>
      </c>
      <c r="C13" s="13">
        <f>Eff_Duplicates_Base</f>
        <v/>
      </c>
      <c r="D13" s="13">
        <f>Eff_PayToTerms_Best</f>
        <v/>
      </c>
      <c r="E13" s="13">
        <f>Eff_Approval_Base</f>
        <v/>
      </c>
      <c r="F13" s="13">
        <f>Eff_EntryValidation_Base</f>
        <v/>
      </c>
      <c r="G13" s="13">
        <f>Recovery_Rate_Base</f>
        <v/>
      </c>
      <c r="H13" s="22">
        <f>Cost_Multiplier_Base</f>
        <v/>
      </c>
      <c r="I13" s="13">
        <f>CoC_Base</f>
        <v/>
      </c>
      <c r="J13" s="13">
        <f>Ramp_Y1_Base</f>
        <v/>
      </c>
      <c r="K13" s="14">
        <f>M_Duplicates*C13+M_PaymentRun*D13+M_SlowApproval*E13+M_Rework*F13</f>
        <v/>
      </c>
      <c r="L13" s="14">
        <f>Investment_Estimate*H13</f>
        <v/>
      </c>
      <c r="M13" s="14">
        <f>Run_Cost_Estimate*H13</f>
        <v/>
      </c>
      <c r="N13" s="14">
        <f>K13*J13+M_PaidDuplicates*G13-M13</f>
        <v/>
      </c>
      <c r="O13" s="14">
        <f>K13-M13</f>
        <v/>
      </c>
      <c r="P13" s="14">
        <f>-L13+N13/(1+I13)+O13*(1/(1+I13)^2+1/(1+I13)^3)</f>
        <v/>
      </c>
    </row>
    <row r="14">
      <c r="A14" s="2" t="inlineStr">
        <is>
          <t>Late approvals avoided</t>
        </is>
      </c>
      <c r="B14" s="2" t="inlineStr">
        <is>
          <t>Worst</t>
        </is>
      </c>
      <c r="C14" s="13">
        <f>Eff_Duplicates_Base</f>
        <v/>
      </c>
      <c r="D14" s="13">
        <f>Eff_PayToTerms_Base</f>
        <v/>
      </c>
      <c r="E14" s="13">
        <f>Eff_Approval_Worst</f>
        <v/>
      </c>
      <c r="F14" s="13">
        <f>Eff_EntryValidation_Base</f>
        <v/>
      </c>
      <c r="G14" s="13">
        <f>Recovery_Rate_Base</f>
        <v/>
      </c>
      <c r="H14" s="22">
        <f>Cost_Multiplier_Base</f>
        <v/>
      </c>
      <c r="I14" s="13">
        <f>CoC_Base</f>
        <v/>
      </c>
      <c r="J14" s="13">
        <f>Ramp_Y1_Base</f>
        <v/>
      </c>
      <c r="K14" s="14">
        <f>M_Duplicates*C14+M_PaymentRun*D14+M_SlowApproval*E14+M_Rework*F14</f>
        <v/>
      </c>
      <c r="L14" s="14">
        <f>Investment_Estimate*H14</f>
        <v/>
      </c>
      <c r="M14" s="14">
        <f>Run_Cost_Estimate*H14</f>
        <v/>
      </c>
      <c r="N14" s="14">
        <f>K14*J14+M_PaidDuplicates*G14-M14</f>
        <v/>
      </c>
      <c r="O14" s="14">
        <f>K14-M14</f>
        <v/>
      </c>
      <c r="P14" s="14">
        <f>-L14+N14/(1+I14)+O14*(1/(1+I14)^2+1/(1+I14)^3)</f>
        <v/>
      </c>
    </row>
    <row r="15">
      <c r="A15" s="2" t="inlineStr">
        <is>
          <t>Late approvals avoided</t>
        </is>
      </c>
      <c r="B15" s="2" t="inlineStr">
        <is>
          <t>Best</t>
        </is>
      </c>
      <c r="C15" s="13">
        <f>Eff_Duplicates_Base</f>
        <v/>
      </c>
      <c r="D15" s="13">
        <f>Eff_PayToTerms_Base</f>
        <v/>
      </c>
      <c r="E15" s="13">
        <f>Eff_Approval_Best</f>
        <v/>
      </c>
      <c r="F15" s="13">
        <f>Eff_EntryValidation_Base</f>
        <v/>
      </c>
      <c r="G15" s="13">
        <f>Recovery_Rate_Base</f>
        <v/>
      </c>
      <c r="H15" s="22">
        <f>Cost_Multiplier_Base</f>
        <v/>
      </c>
      <c r="I15" s="13">
        <f>CoC_Base</f>
        <v/>
      </c>
      <c r="J15" s="13">
        <f>Ramp_Y1_Base</f>
        <v/>
      </c>
      <c r="K15" s="14">
        <f>M_Duplicates*C15+M_PaymentRun*D15+M_SlowApproval*E15+M_Rework*F15</f>
        <v/>
      </c>
      <c r="L15" s="14">
        <f>Investment_Estimate*H15</f>
        <v/>
      </c>
      <c r="M15" s="14">
        <f>Run_Cost_Estimate*H15</f>
        <v/>
      </c>
      <c r="N15" s="14">
        <f>K15*J15+M_PaidDuplicates*G15-M15</f>
        <v/>
      </c>
      <c r="O15" s="14">
        <f>K15-M15</f>
        <v/>
      </c>
      <c r="P15" s="14">
        <f>-L15+N15/(1+I15)+O15*(1/(1+I15)^2+1/(1+I15)^3)</f>
        <v/>
      </c>
    </row>
    <row r="16">
      <c r="A16" s="2" t="inlineStr">
        <is>
          <t>Rework prevented at entry</t>
        </is>
      </c>
      <c r="B16" s="2" t="inlineStr">
        <is>
          <t>Worst</t>
        </is>
      </c>
      <c r="C16" s="13">
        <f>Eff_Duplicates_Base</f>
        <v/>
      </c>
      <c r="D16" s="13">
        <f>Eff_PayToTerms_Base</f>
        <v/>
      </c>
      <c r="E16" s="13">
        <f>Eff_Approval_Base</f>
        <v/>
      </c>
      <c r="F16" s="13">
        <f>Eff_EntryValidation_Worst</f>
        <v/>
      </c>
      <c r="G16" s="13">
        <f>Recovery_Rate_Base</f>
        <v/>
      </c>
      <c r="H16" s="22">
        <f>Cost_Multiplier_Base</f>
        <v/>
      </c>
      <c r="I16" s="13">
        <f>CoC_Base</f>
        <v/>
      </c>
      <c r="J16" s="13">
        <f>Ramp_Y1_Base</f>
        <v/>
      </c>
      <c r="K16" s="14">
        <f>M_Duplicates*C16+M_PaymentRun*D16+M_SlowApproval*E16+M_Rework*F16</f>
        <v/>
      </c>
      <c r="L16" s="14">
        <f>Investment_Estimate*H16</f>
        <v/>
      </c>
      <c r="M16" s="14">
        <f>Run_Cost_Estimate*H16</f>
        <v/>
      </c>
      <c r="N16" s="14">
        <f>K16*J16+M_PaidDuplicates*G16-M16</f>
        <v/>
      </c>
      <c r="O16" s="14">
        <f>K16-M16</f>
        <v/>
      </c>
      <c r="P16" s="14">
        <f>-L16+N16/(1+I16)+O16*(1/(1+I16)^2+1/(1+I16)^3)</f>
        <v/>
      </c>
    </row>
    <row r="17">
      <c r="A17" s="2" t="inlineStr">
        <is>
          <t>Rework prevented at entry</t>
        </is>
      </c>
      <c r="B17" s="2" t="inlineStr">
        <is>
          <t>Best</t>
        </is>
      </c>
      <c r="C17" s="13">
        <f>Eff_Duplicates_Base</f>
        <v/>
      </c>
      <c r="D17" s="13">
        <f>Eff_PayToTerms_Base</f>
        <v/>
      </c>
      <c r="E17" s="13">
        <f>Eff_Approval_Base</f>
        <v/>
      </c>
      <c r="F17" s="13">
        <f>Eff_EntryValidation_Best</f>
        <v/>
      </c>
      <c r="G17" s="13">
        <f>Recovery_Rate_Base</f>
        <v/>
      </c>
      <c r="H17" s="22">
        <f>Cost_Multiplier_Base</f>
        <v/>
      </c>
      <c r="I17" s="13">
        <f>CoC_Base</f>
        <v/>
      </c>
      <c r="J17" s="13">
        <f>Ramp_Y1_Base</f>
        <v/>
      </c>
      <c r="K17" s="14">
        <f>M_Duplicates*C17+M_PaymentRun*D17+M_SlowApproval*E17+M_Rework*F17</f>
        <v/>
      </c>
      <c r="L17" s="14">
        <f>Investment_Estimate*H17</f>
        <v/>
      </c>
      <c r="M17" s="14">
        <f>Run_Cost_Estimate*H17</f>
        <v/>
      </c>
      <c r="N17" s="14">
        <f>K17*J17+M_PaidDuplicates*G17-M17</f>
        <v/>
      </c>
      <c r="O17" s="14">
        <f>K17-M17</f>
        <v/>
      </c>
      <c r="P17" s="14">
        <f>-L17+N17/(1+I17)+O17*(1/(1+I17)^2+1/(1+I17)^3)</f>
        <v/>
      </c>
    </row>
    <row r="19">
      <c r="A19" s="1" t="inlineStr">
        <is>
          <t>Tornado: NPV with one assumption at its worst and best value</t>
        </is>
      </c>
    </row>
    <row r="20">
      <c r="A20" s="17" t="inlineStr">
        <is>
          <t>Assumption</t>
        </is>
      </c>
      <c r="B20" s="17" t="inlineStr">
        <is>
          <t>NPV at worst</t>
        </is>
      </c>
      <c r="C20" s="17" t="inlineStr">
        <is>
          <t>NPV at best</t>
        </is>
      </c>
      <c r="D20" s="17" t="inlineStr">
        <is>
          <t>Swing</t>
        </is>
      </c>
    </row>
    <row r="21">
      <c r="A21" s="2" t="inlineStr">
        <is>
          <t>Implementation and running cost</t>
        </is>
      </c>
      <c r="B21" s="14">
        <f>P2</f>
        <v/>
      </c>
      <c r="C21" s="14">
        <f>P3</f>
        <v/>
      </c>
      <c r="D21" s="14">
        <f>ABS(C21-B21)</f>
        <v/>
      </c>
    </row>
    <row r="22">
      <c r="A22" s="2" t="inlineStr">
        <is>
          <t>Duplicates prevented</t>
        </is>
      </c>
      <c r="B22" s="14">
        <f>P4</f>
        <v/>
      </c>
      <c r="C22" s="14">
        <f>P5</f>
        <v/>
      </c>
      <c r="D22" s="14">
        <f>ABS(C22-B22)</f>
        <v/>
      </c>
    </row>
    <row r="23">
      <c r="A23" s="2" t="inlineStr">
        <is>
          <t>Year-1 benefit realised</t>
        </is>
      </c>
      <c r="B23" s="14">
        <f>P6</f>
        <v/>
      </c>
      <c r="C23" s="14">
        <f>P7</f>
        <v/>
      </c>
      <c r="D23" s="14">
        <f>ABS(C23-B23)</f>
        <v/>
      </c>
    </row>
    <row r="24">
      <c r="A24" s="2" t="inlineStr">
        <is>
          <t>Paid duplicates recovered</t>
        </is>
      </c>
      <c r="B24" s="14">
        <f>P8</f>
        <v/>
      </c>
      <c r="C24" s="14">
        <f>P9</f>
        <v/>
      </c>
      <c r="D24" s="14">
        <f>ABS(C24-B24)</f>
        <v/>
      </c>
    </row>
    <row r="25">
      <c r="A25" s="2" t="inlineStr">
        <is>
          <t>Cost of capital (discount rate)</t>
        </is>
      </c>
      <c r="B25" s="14">
        <f>P10</f>
        <v/>
      </c>
      <c r="C25" s="14">
        <f>P11</f>
        <v/>
      </c>
      <c r="D25" s="14">
        <f>ABS(C25-B25)</f>
        <v/>
      </c>
    </row>
    <row r="26">
      <c r="A26" s="2" t="inlineStr">
        <is>
          <t>Pay-to-terms effectiveness</t>
        </is>
      </c>
      <c r="B26" s="14">
        <f>P12</f>
        <v/>
      </c>
      <c r="C26" s="14">
        <f>P13</f>
        <v/>
      </c>
      <c r="D26" s="14">
        <f>ABS(C26-B26)</f>
        <v/>
      </c>
    </row>
    <row r="27">
      <c r="A27" s="2" t="inlineStr">
        <is>
          <t>Late approvals avoided</t>
        </is>
      </c>
      <c r="B27" s="14">
        <f>P14</f>
        <v/>
      </c>
      <c r="C27" s="14">
        <f>P15</f>
        <v/>
      </c>
      <c r="D27" s="14">
        <f>ABS(C27-B27)</f>
        <v/>
      </c>
    </row>
    <row r="28">
      <c r="A28" s="2" t="inlineStr">
        <is>
          <t>Rework prevented at entry</t>
        </is>
      </c>
      <c r="B28" s="14">
        <f>P16</f>
        <v/>
      </c>
      <c r="C28" s="14">
        <f>P17</f>
        <v/>
      </c>
      <c r="D28" s="14">
        <f>ABS(C28-B28)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3" customWidth="1" min="4" max="4"/>
    <col width="26" customWidth="1" min="5" max="5"/>
  </cols>
  <sheetData>
    <row r="1">
      <c r="A1" s="5" t="inlineStr">
        <is>
          <t>Figure</t>
        </is>
      </c>
      <c r="B1" s="5" t="inlineStr">
        <is>
          <t>Workbook</t>
        </is>
      </c>
      <c r="C1" s="5" t="inlineStr">
        <is>
          <t>Python model</t>
        </is>
      </c>
      <c r="D1" s="5" t="inlineStr">
        <is>
          <t>Difference</t>
        </is>
      </c>
      <c r="E1" s="5" t="inlineStr">
        <is>
          <t>Status</t>
        </is>
      </c>
    </row>
    <row r="2">
      <c r="A2" s="2" t="inlineStr">
        <is>
          <t>Hard benefit a year</t>
        </is>
      </c>
      <c r="B2" s="23">
        <f>Hard_Benefit</f>
        <v/>
      </c>
      <c r="C2" s="10" t="n">
        <v>66413.02</v>
      </c>
      <c r="D2" s="24">
        <f>B2-C2</f>
        <v/>
      </c>
      <c r="E2" s="1">
        <f>IF(Scenario&lt;&gt;"Base","Switch Inputs to Base",IF(ABS(D2)&lt;=0.5,"OK","CHECK"))</f>
        <v/>
      </c>
    </row>
    <row r="3">
      <c r="A3" s="2" t="inlineStr">
        <is>
          <t>Estimated saving a year</t>
        </is>
      </c>
      <c r="B3" s="23">
        <f>Estimated_Saving</f>
        <v/>
      </c>
      <c r="C3" s="10" t="n">
        <v>31446.98</v>
      </c>
      <c r="D3" s="24">
        <f>B3-C3</f>
        <v/>
      </c>
      <c r="E3" s="1">
        <f>IF(Scenario&lt;&gt;"Base","Switch Inputs to Base",IF(ABS(D3)&lt;=0.5,"OK","CHECK"))</f>
        <v/>
      </c>
    </row>
    <row r="4">
      <c r="A4" s="2" t="inlineStr">
        <is>
          <t>One-off investment</t>
        </is>
      </c>
      <c r="B4" s="23">
        <f>Investment</f>
        <v/>
      </c>
      <c r="C4" s="10" t="n">
        <v>60000</v>
      </c>
      <c r="D4" s="24">
        <f>B4-C4</f>
        <v/>
      </c>
      <c r="E4" s="1">
        <f>IF(Scenario&lt;&gt;"Base","Switch Inputs to Base",IF(ABS(D4)&lt;=0.5,"OK","CHECK"))</f>
        <v/>
      </c>
    </row>
    <row r="5">
      <c r="A5" s="2" t="inlineStr">
        <is>
          <t>Running cost a year</t>
        </is>
      </c>
      <c r="B5" s="23">
        <f>Run_Cost</f>
        <v/>
      </c>
      <c r="C5" s="10" t="n">
        <v>8400</v>
      </c>
      <c r="D5" s="24">
        <f>B5-C5</f>
        <v/>
      </c>
      <c r="E5" s="1">
        <f>IF(Scenario&lt;&gt;"Base","Switch Inputs to Base",IF(ABS(D5)&lt;=0.5,"OK","CHECK"))</f>
        <v/>
      </c>
    </row>
    <row r="6">
      <c r="A6" s="2" t="inlineStr">
        <is>
          <t>NPV, hard benefits</t>
        </is>
      </c>
      <c r="B6" s="23">
        <f>Hard_NPV</f>
        <v/>
      </c>
      <c r="C6" s="10" t="n">
        <v>118772.36</v>
      </c>
      <c r="D6" s="24">
        <f>B6-C6</f>
        <v/>
      </c>
      <c r="E6" s="1">
        <f>IF(Scenario&lt;&gt;"Base","Switch Inputs to Base",IF(ABS(D6)&lt;=0.5,"OK","CHECK"))</f>
        <v/>
      </c>
    </row>
    <row r="7">
      <c r="A7" s="2" t="inlineStr">
        <is>
          <t>ROI, hard benefits (%)</t>
        </is>
      </c>
      <c r="B7" s="25">
        <f>Hard_ROI*100</f>
        <v/>
      </c>
      <c r="C7" s="26" t="n">
        <v>242.7</v>
      </c>
      <c r="D7" s="21">
        <f>B7-C7</f>
        <v/>
      </c>
      <c r="E7" s="1">
        <f>IF(Scenario&lt;&gt;"Base","Switch Inputs to Base",IF(ABS(D7)&lt;=0.5,"OK","CHECK"))</f>
        <v/>
      </c>
    </row>
    <row r="8">
      <c r="A8" s="2" t="inlineStr">
        <is>
          <t>Payback, hard benefits (months)</t>
        </is>
      </c>
      <c r="B8" s="25">
        <f>Hard_Payback</f>
        <v/>
      </c>
      <c r="C8" s="26" t="n">
        <v>8</v>
      </c>
      <c r="D8" s="21">
        <f>B8-C8</f>
        <v/>
      </c>
      <c r="E8" s="1">
        <f>IF(Scenario&lt;&gt;"Base","Switch Inputs to Base",IF(ABS(D8)&lt;=0.5,"OK","CHECK"))</f>
        <v/>
      </c>
    </row>
    <row r="9">
      <c r="A9" s="2" t="inlineStr">
        <is>
          <t>NPV including estimated savings</t>
        </is>
      </c>
      <c r="B9" s="23">
        <f>WithEstimated_NPV</f>
        <v/>
      </c>
      <c r="C9" s="10" t="n">
        <v>192534.88</v>
      </c>
      <c r="D9" s="24">
        <f>B9-C9</f>
        <v/>
      </c>
      <c r="E9" s="1">
        <f>IF(Scenario&lt;&gt;"Base","Switch Inputs to Base",IF(ABS(D9)&lt;=0.5,"OK","CHECK"))</f>
        <v/>
      </c>
    </row>
    <row r="10">
      <c r="A10" s="2" t="inlineStr">
        <is>
          <t>Worst case: NPV, hard benefits</t>
        </is>
      </c>
      <c r="B10" s="23">
        <f>Scenarios!B8</f>
        <v/>
      </c>
      <c r="C10" s="10" t="n">
        <v>21039.82</v>
      </c>
      <c r="D10" s="24">
        <f>B10-C10</f>
        <v/>
      </c>
      <c r="E10" s="1">
        <f>IF(ABS(D10)&lt;=0.5,"OK","CHECK")</f>
        <v/>
      </c>
    </row>
    <row r="11">
      <c r="A11" s="2" t="inlineStr">
        <is>
          <t>Worst case: NPV without claim-back</t>
        </is>
      </c>
      <c r="B11" s="23">
        <f>Scenarios!B11</f>
        <v/>
      </c>
      <c r="C11" s="10" t="n">
        <v>-11831.88</v>
      </c>
      <c r="D11" s="24">
        <f>B11-C11</f>
        <v/>
      </c>
      <c r="E11" s="1">
        <f>IF(ABS(D11)&lt;=0.5,"OK","CHECK")</f>
        <v/>
      </c>
    </row>
    <row r="12">
      <c r="A12" s="2" t="inlineStr">
        <is>
          <t>Worst case: NPV including estimated savings</t>
        </is>
      </c>
      <c r="B12" s="23">
        <f>Scenarios!B12</f>
        <v/>
      </c>
      <c r="C12" s="10" t="n">
        <v>48247.5</v>
      </c>
      <c r="D12" s="24">
        <f>B12-C12</f>
        <v/>
      </c>
      <c r="E12" s="1">
        <f>IF(ABS(D12)&lt;=0.5,"OK","CHECK")</f>
        <v/>
      </c>
    </row>
    <row r="13">
      <c r="A13" s="2" t="inlineStr">
        <is>
          <t>Base case: NPV, hard benefits</t>
        </is>
      </c>
      <c r="B13" s="23">
        <f>Scenarios!C8</f>
        <v/>
      </c>
      <c r="C13" s="10" t="n">
        <v>118772.36</v>
      </c>
      <c r="D13" s="24">
        <f>B13-C13</f>
        <v/>
      </c>
      <c r="E13" s="1">
        <f>IF(ABS(D13)&lt;=0.5,"OK","CHECK")</f>
        <v/>
      </c>
    </row>
    <row r="14">
      <c r="A14" s="2" t="inlineStr">
        <is>
          <t>Base case: NPV without claim-back</t>
        </is>
      </c>
      <c r="B14" s="23">
        <f>Scenarios!C11</f>
        <v/>
      </c>
      <c r="C14" s="10" t="n">
        <v>74131.78999999999</v>
      </c>
      <c r="D14" s="24">
        <f>B14-C14</f>
        <v/>
      </c>
      <c r="E14" s="1">
        <f>IF(ABS(D14)&lt;=0.5,"OK","CHECK")</f>
        <v/>
      </c>
    </row>
    <row r="15">
      <c r="A15" s="2" t="inlineStr">
        <is>
          <t>Base case: NPV including estimated savings</t>
        </is>
      </c>
      <c r="B15" s="23">
        <f>Scenarios!C12</f>
        <v/>
      </c>
      <c r="C15" s="10" t="n">
        <v>192534.88</v>
      </c>
      <c r="D15" s="24">
        <f>B15-C15</f>
        <v/>
      </c>
      <c r="E15" s="1">
        <f>IF(ABS(D15)&lt;=0.5,"OK","CHECK")</f>
        <v/>
      </c>
    </row>
    <row r="16">
      <c r="A16" s="2" t="inlineStr">
        <is>
          <t>Best case: NPV, hard benefits</t>
        </is>
      </c>
      <c r="B16" s="23">
        <f>Scenarios!D8</f>
        <v/>
      </c>
      <c r="C16" s="10" t="n">
        <v>164567.11</v>
      </c>
      <c r="D16" s="24">
        <f>B16-C16</f>
        <v/>
      </c>
      <c r="E16" s="1">
        <f>IF(ABS(D16)&lt;=0.5,"OK","CHECK")</f>
        <v/>
      </c>
    </row>
    <row r="17">
      <c r="A17" s="2" t="inlineStr">
        <is>
          <t>Best case: NPV without claim-back</t>
        </is>
      </c>
      <c r="B17" s="23">
        <f>Scenarios!D11</f>
        <v/>
      </c>
      <c r="C17" s="10" t="n">
        <v>110556.22</v>
      </c>
      <c r="D17" s="24">
        <f>B17-C17</f>
        <v/>
      </c>
      <c r="E17" s="1">
        <f>IF(ABS(D17)&lt;=0.5,"OK","CHECK")</f>
        <v/>
      </c>
    </row>
    <row r="18">
      <c r="A18" s="2" t="inlineStr">
        <is>
          <t>Best case: NPV including estimated savings</t>
        </is>
      </c>
      <c r="B18" s="23">
        <f>Scenarios!D12</f>
        <v/>
      </c>
      <c r="C18" s="10" t="n">
        <v>312234.98</v>
      </c>
      <c r="D18" s="24">
        <f>B18-C18</f>
        <v/>
      </c>
      <c r="E18" s="1">
        <f>IF(ABS(D18)&lt;=0.5,"OK","CHECK")</f>
        <v/>
      </c>
    </row>
    <row r="19">
      <c r="A19" s="2" t="inlineStr">
        <is>
          <t>Tornado: Implementation and running cost at worst</t>
        </is>
      </c>
      <c r="B19" s="23">
        <f>Sensitivity!B21</f>
        <v/>
      </c>
      <c r="C19" s="10" t="n">
        <v>77948.56</v>
      </c>
      <c r="D19" s="24">
        <f>B19-C19</f>
        <v/>
      </c>
      <c r="E19" s="1">
        <f>IF(ABS(D19)&lt;=0.5,"OK","CHECK")</f>
        <v/>
      </c>
    </row>
    <row r="20">
      <c r="A20" s="2" t="inlineStr">
        <is>
          <t>Tornado: Implementation and running cost at best</t>
        </is>
      </c>
      <c r="B20" s="23">
        <f>Sensitivity!C21</f>
        <v/>
      </c>
      <c r="C20" s="10" t="n">
        <v>126937.13</v>
      </c>
      <c r="D20" s="24">
        <f>B20-C20</f>
        <v/>
      </c>
      <c r="E20" s="1">
        <f>IF(ABS(D20)&lt;=0.5,"OK","CHECK")</f>
        <v/>
      </c>
    </row>
    <row r="21">
      <c r="A21" s="2" t="inlineStr">
        <is>
          <t>Tornado: Duplicates prevented at worst</t>
        </is>
      </c>
      <c r="B21" s="23">
        <f>Sensitivity!B22</f>
        <v/>
      </c>
      <c r="C21" s="10" t="n">
        <v>96443.64</v>
      </c>
      <c r="D21" s="24">
        <f>B21-C21</f>
        <v/>
      </c>
      <c r="E21" s="1">
        <f>IF(ABS(D21)&lt;=0.5,"OK","CHECK")</f>
        <v/>
      </c>
    </row>
    <row r="22">
      <c r="A22" s="2" t="inlineStr">
        <is>
          <t>Tornado: Duplicates prevented at best</t>
        </is>
      </c>
      <c r="B22" s="23">
        <f>Sensitivity!C22</f>
        <v/>
      </c>
      <c r="C22" s="10" t="n">
        <v>124715.24</v>
      </c>
      <c r="D22" s="24">
        <f>B22-C22</f>
        <v/>
      </c>
      <c r="E22" s="1">
        <f>IF(ABS(D22)&lt;=0.5,"OK","CHECK")</f>
        <v/>
      </c>
    </row>
    <row r="23">
      <c r="A23" s="2" t="inlineStr">
        <is>
          <t>Tornado: Year-1 benefit realised at worst</t>
        </is>
      </c>
      <c r="B23" s="23">
        <f>Sensitivity!B23</f>
        <v/>
      </c>
      <c r="C23" s="10" t="n">
        <v>103398.98</v>
      </c>
      <c r="D23" s="24">
        <f>B23-C23</f>
        <v/>
      </c>
      <c r="E23" s="1">
        <f>IF(ABS(D23)&lt;=0.5,"OK","CHECK")</f>
        <v/>
      </c>
    </row>
    <row r="24">
      <c r="A24" s="2" t="inlineStr">
        <is>
          <t>Tornado: Year-1 benefit realised at best</t>
        </is>
      </c>
      <c r="B24" s="23">
        <f>Sensitivity!C23</f>
        <v/>
      </c>
      <c r="C24" s="10" t="n">
        <v>127996.39</v>
      </c>
      <c r="D24" s="24">
        <f>B24-C24</f>
        <v/>
      </c>
      <c r="E24" s="1">
        <f>IF(ABS(D24)&lt;=0.5,"OK","CHECK")</f>
        <v/>
      </c>
    </row>
    <row r="25">
      <c r="A25" s="2" t="inlineStr">
        <is>
          <t>Tornado: Paid duplicates recovered at worst</t>
        </is>
      </c>
      <c r="B25" s="23">
        <f>Sensitivity!B24</f>
        <v/>
      </c>
      <c r="C25" s="10" t="n">
        <v>107612.22</v>
      </c>
      <c r="D25" s="24">
        <f>B25-C25</f>
        <v/>
      </c>
      <c r="E25" s="1">
        <f>IF(ABS(D25)&lt;=0.5,"OK","CHECK")</f>
        <v/>
      </c>
    </row>
    <row r="26">
      <c r="A26" s="2" t="inlineStr">
        <is>
          <t>Tornado: Paid duplicates recovered at best</t>
        </is>
      </c>
      <c r="B26" s="23">
        <f>Sensitivity!C24</f>
        <v/>
      </c>
      <c r="C26" s="10" t="n">
        <v>127142.47</v>
      </c>
      <c r="D26" s="24">
        <f>B26-C26</f>
        <v/>
      </c>
      <c r="E26" s="1">
        <f>IF(ABS(D26)&lt;=0.5,"OK","CHECK")</f>
        <v/>
      </c>
    </row>
    <row r="27">
      <c r="A27" s="2" t="inlineStr">
        <is>
          <t>Tornado: Cost of capital (discount rate) at worst</t>
        </is>
      </c>
      <c r="B27" s="23">
        <f>Sensitivity!B25</f>
        <v/>
      </c>
      <c r="C27" s="10" t="n">
        <v>113004.85</v>
      </c>
      <c r="D27" s="24">
        <f>B27-C27</f>
        <v/>
      </c>
      <c r="E27" s="1">
        <f>IF(ABS(D27)&lt;=0.5,"OK","CHECK")</f>
        <v/>
      </c>
    </row>
    <row r="28">
      <c r="A28" s="2" t="inlineStr">
        <is>
          <t>Tornado: Cost of capital (discount rate) at best</t>
        </is>
      </c>
      <c r="B28" s="23">
        <f>Sensitivity!C25</f>
        <v/>
      </c>
      <c r="C28" s="10" t="n">
        <v>124888.89</v>
      </c>
      <c r="D28" s="24">
        <f>B28-C28</f>
        <v/>
      </c>
      <c r="E28" s="1">
        <f>IF(ABS(D28)&lt;=0.5,"OK","CHECK")</f>
        <v/>
      </c>
    </row>
    <row r="29">
      <c r="A29" s="2" t="inlineStr">
        <is>
          <t>Tornado: Pay-to-terms effectiveness at worst</t>
        </is>
      </c>
      <c r="B29" s="23">
        <f>Sensitivity!B26</f>
        <v/>
      </c>
      <c r="C29" s="10" t="n">
        <v>115826.99</v>
      </c>
      <c r="D29" s="24">
        <f>B29-C29</f>
        <v/>
      </c>
      <c r="E29" s="1">
        <f>IF(ABS(D29)&lt;=0.5,"OK","CHECK")</f>
        <v/>
      </c>
    </row>
    <row r="30">
      <c r="A30" s="2" t="inlineStr">
        <is>
          <t>Tornado: Pay-to-terms effectiveness at best</t>
        </is>
      </c>
      <c r="B30" s="23">
        <f>Sensitivity!C26</f>
        <v/>
      </c>
      <c r="C30" s="10" t="n">
        <v>121717.74</v>
      </c>
      <c r="D30" s="24">
        <f>B30-C30</f>
        <v/>
      </c>
      <c r="E30" s="1">
        <f>IF(ABS(D30)&lt;=0.5,"OK","CHECK")</f>
        <v/>
      </c>
    </row>
    <row r="31">
      <c r="A31" s="2" t="inlineStr">
        <is>
          <t>Tornado: Late approvals avoided at worst</t>
        </is>
      </c>
      <c r="B31" s="23">
        <f>Sensitivity!B27</f>
        <v/>
      </c>
      <c r="C31" s="10" t="n">
        <v>116416.01</v>
      </c>
      <c r="D31" s="24">
        <f>B31-C31</f>
        <v/>
      </c>
      <c r="E31" s="1">
        <f>IF(ABS(D31)&lt;=0.5,"OK","CHECK")</f>
        <v/>
      </c>
    </row>
    <row r="32">
      <c r="A32" s="2" t="inlineStr">
        <is>
          <t>Tornado: Late approvals avoided at best</t>
        </is>
      </c>
      <c r="B32" s="23">
        <f>Sensitivity!C27</f>
        <v/>
      </c>
      <c r="C32" s="10" t="n">
        <v>121128.72</v>
      </c>
      <c r="D32" s="24">
        <f>B32-C32</f>
        <v/>
      </c>
      <c r="E32" s="1">
        <f>IF(ABS(D32)&lt;=0.5,"OK","CHECK")</f>
        <v/>
      </c>
    </row>
    <row r="33">
      <c r="A33" s="2" t="inlineStr">
        <is>
          <t>Tornado: Rework prevented at entry at worst</t>
        </is>
      </c>
      <c r="B33" s="23">
        <f>Sensitivity!B28</f>
        <v/>
      </c>
      <c r="C33" s="10" t="n">
        <v>117007.24</v>
      </c>
      <c r="D33" s="24">
        <f>B33-C33</f>
        <v/>
      </c>
      <c r="E33" s="1">
        <f>IF(ABS(D33)&lt;=0.5,"OK","CHECK")</f>
        <v/>
      </c>
    </row>
    <row r="34">
      <c r="A34" s="2" t="inlineStr">
        <is>
          <t>Tornado: Rework prevented at entry at best</t>
        </is>
      </c>
      <c r="B34" s="23">
        <f>Sensitivity!C28</f>
        <v/>
      </c>
      <c r="C34" s="10" t="n">
        <v>119813.82</v>
      </c>
      <c r="D34" s="24">
        <f>B34-C34</f>
        <v/>
      </c>
      <c r="E34" s="1">
        <f>IF(ABS(D34)&lt;=0.5,"OK","CHECK")</f>
        <v/>
      </c>
    </row>
    <row r="36">
      <c r="A36" s="1" t="inlineStr">
        <is>
          <t>All checks</t>
        </is>
      </c>
      <c r="E36" s="1">
        <f>IF(COUNTIF(E2:E34,"OK")=33,"ALL OK","SEE ABOVE")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2026-10-16T15:26:24Z</dcterms:created>
  <dcterms:modified xmlns:dcterms="http://purl.org/dc/terms/" xmlns:xsi="http://www.w3.org/2001/XMLSchema-instance" xsi:type="dcterms:W3CDTF">2026-10-16T15:26:24Z</dcterms:modified>
</cp:coreProperties>
</file>